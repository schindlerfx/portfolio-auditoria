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Dashboard" sheetId="1" state="visible" r:id="rId1"/>
    <sheet xmlns:r="http://schemas.openxmlformats.org/officeDocument/2006/relationships" name="Encomendas" sheetId="2" state="visible" r:id="rId2"/>
    <sheet xmlns:r="http://schemas.openxmlformats.org/officeDocument/2006/relationships" name="Fornecedores" sheetId="3" state="visible" r:id="rId3"/>
    <sheet xmlns:r="http://schemas.openxmlformats.org/officeDocument/2006/relationships" name="📅 Projecção Caixa" sheetId="4" state="visible" r:id="rId4"/>
    <sheet xmlns:r="http://schemas.openxmlformats.org/officeDocument/2006/relationships" name="✅ Checklist BOM" sheetId="5" state="visible" r:id="rId5"/>
    <sheet xmlns:r="http://schemas.openxmlformats.org/officeDocument/2006/relationships" name="⚠ Ocorrência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€#,##0.00"/>
    <numFmt numFmtId="165" formatCode="DD/MM/YYYY"/>
    <numFmt numFmtId="166" formatCode="0.0%"/>
  </numFmts>
  <fonts count="25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A8C4E8"/>
      <sz val="10"/>
    </font>
    <font>
      <name val="Arial"/>
      <b val="1"/>
      <color rgb="00FFFFFF"/>
      <sz val="10"/>
    </font>
    <font>
      <name val="Arial"/>
      <b val="1"/>
      <color rgb="001B3A6B"/>
      <sz val="9"/>
    </font>
    <font>
      <name val="Arial"/>
      <b val="1"/>
      <color rgb="001B3A6B"/>
      <sz val="14"/>
    </font>
    <font>
      <name val="Arial"/>
      <b val="1"/>
      <color rgb="004A5568"/>
      <sz val="9"/>
    </font>
    <font>
      <name val="Arial"/>
      <b val="1"/>
      <color rgb="004A5568"/>
      <sz val="14"/>
    </font>
    <font>
      <name val="Arial"/>
      <b val="1"/>
      <color rgb="00B45309"/>
      <sz val="9"/>
    </font>
    <font>
      <name val="Arial"/>
      <b val="1"/>
      <color rgb="00B45309"/>
      <sz val="14"/>
    </font>
    <font>
      <name val="Arial"/>
      <b val="1"/>
      <color rgb="001A6B3A"/>
      <sz val="9"/>
    </font>
    <font>
      <name val="Arial"/>
      <b val="1"/>
      <color rgb="001A6B3A"/>
      <sz val="14"/>
    </font>
    <font>
      <name val="Arial"/>
      <b val="1"/>
      <color rgb="00C0392B"/>
      <sz val="9"/>
    </font>
    <font>
      <name val="Arial"/>
      <b val="1"/>
      <color rgb="00C0392B"/>
      <sz val="14"/>
    </font>
    <font>
      <name val="Arial"/>
      <b val="1"/>
      <color rgb="00FFFFFF"/>
      <sz val="9"/>
    </font>
    <font>
      <name val="Arial"/>
      <color rgb="00000000"/>
      <sz val="9"/>
    </font>
    <font>
      <name val="Arial"/>
      <color rgb="004A5568"/>
      <sz val="8"/>
    </font>
    <font>
      <name val="Arial"/>
      <b val="1"/>
      <color rgb="00FFFFFF"/>
      <sz val="14"/>
    </font>
    <font>
      <name val="Arial"/>
      <b val="1"/>
      <color rgb="001A6B3A"/>
      <sz val="10"/>
    </font>
    <font>
      <name val="Arial"/>
      <color rgb="004A5568"/>
      <sz val="9"/>
    </font>
    <font>
      <name val="Arial"/>
      <color rgb="000000FF"/>
      <sz val="10"/>
    </font>
    <font>
      <name val="Arial"/>
      <b val="1"/>
      <color rgb="00C0392B"/>
      <sz val="10"/>
    </font>
    <font>
      <name val="Arial"/>
      <b val="1"/>
      <color rgb="001B3A6B"/>
      <sz val="10"/>
    </font>
    <font>
      <name val="Arial"/>
      <b val="1"/>
      <color rgb="00FFFFFF"/>
      <sz val="13"/>
    </font>
    <font>
      <name val="Arial"/>
      <color rgb="00000000"/>
      <sz val="10"/>
    </font>
  </fonts>
  <fills count="11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2E5FA3"/>
      </patternFill>
    </fill>
    <fill>
      <patternFill patternType="solid">
        <fgColor rgb="00D6E4F7"/>
      </patternFill>
    </fill>
    <fill>
      <patternFill patternType="solid">
        <fgColor rgb="00F5F7FA"/>
      </patternFill>
    </fill>
    <fill>
      <patternFill patternType="solid">
        <fgColor rgb="00FEF3C7"/>
      </patternFill>
    </fill>
    <fill>
      <patternFill patternType="solid">
        <fgColor rgb="00D6F7E4"/>
      </patternFill>
    </fill>
    <fill>
      <patternFill patternType="solid">
        <fgColor rgb="00FADBD8"/>
      </patternFill>
    </fill>
    <fill>
      <patternFill patternType="solid">
        <fgColor rgb="00FFFFFF"/>
      </patternFill>
    </fill>
    <fill>
      <patternFill patternType="solid">
        <fgColor rgb="00FFF9C4"/>
      </patternFill>
    </fill>
  </fills>
  <borders count="7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thin">
        <color rgb="00E2E8F0"/>
      </left>
      <right style="thin">
        <color rgb="00E2E8F0"/>
      </right>
      <top style="medium">
        <color rgb="001B3A6B"/>
      </top>
      <bottom style="medium">
        <color rgb="001B3A6B"/>
      </bottom>
    </border>
    <border>
      <left/>
      <right/>
      <top style="thin">
        <color rgb="00E2E8F0"/>
      </top>
      <bottom/>
      <diagonal/>
    </border>
    <border>
      <left/>
      <right style="thin">
        <color rgb="00E2E8F0"/>
      </right>
      <top style="thin">
        <color rgb="00E2E8F0"/>
      </top>
      <bottom/>
      <diagonal/>
    </border>
    <border>
      <left/>
      <right/>
      <top style="thin">
        <color rgb="00E2E8F0"/>
      </top>
      <bottom style="thin">
        <color rgb="00E2E8F0"/>
      </bottom>
      <diagonal/>
    </border>
    <border>
      <left/>
      <right style="thin">
        <color rgb="00E2E8F0"/>
      </right>
      <top style="thin">
        <color rgb="00E2E8F0"/>
      </top>
      <bottom style="thin">
        <color rgb="00E2E8F0"/>
      </bottom>
      <diagonal/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center" vertical="center" wrapText="1"/>
    </xf>
    <xf numFmtId="0" fontId="12" fillId="8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/>
    </xf>
    <xf numFmtId="164" fontId="7" fillId="5" borderId="1" applyAlignment="1" pivotButton="0" quotePrefix="0" xfId="0">
      <alignment horizontal="center" vertical="center"/>
    </xf>
    <xf numFmtId="164" fontId="9" fillId="6" borderId="1" applyAlignment="1" pivotButton="0" quotePrefix="0" xfId="0">
      <alignment horizontal="center" vertical="center"/>
    </xf>
    <xf numFmtId="164" fontId="11" fillId="7" borderId="1" applyAlignment="1" pivotButton="0" quotePrefix="0" xfId="0">
      <alignment horizontal="center" vertical="center"/>
    </xf>
    <xf numFmtId="164" fontId="13" fillId="8" borderId="1" applyAlignment="1" pivotButton="0" quotePrefix="0" xfId="0">
      <alignment horizontal="center" vertical="center"/>
    </xf>
    <xf numFmtId="0" fontId="14" fillId="2" borderId="1" applyAlignment="1" pivotButton="0" quotePrefix="0" xfId="0">
      <alignment horizontal="center" vertical="center" wrapText="1"/>
    </xf>
    <xf numFmtId="0" fontId="15" fillId="9" borderId="1" applyAlignment="1" pivotButton="0" quotePrefix="0" xfId="0">
      <alignment horizontal="left" vertical="center"/>
    </xf>
    <xf numFmtId="165" fontId="15" fillId="9" borderId="1" applyAlignment="1" pivotButton="0" quotePrefix="0" xfId="0">
      <alignment horizontal="left" vertical="center"/>
    </xf>
    <xf numFmtId="164" fontId="15" fillId="9" borderId="1" applyAlignment="1" pivotButton="0" quotePrefix="0" xfId="0">
      <alignment horizontal="left" vertical="center"/>
    </xf>
    <xf numFmtId="0" fontId="15" fillId="5" borderId="1" applyAlignment="1" pivotButton="0" quotePrefix="0" xfId="0">
      <alignment horizontal="left" vertical="center"/>
    </xf>
    <xf numFmtId="165" fontId="15" fillId="5" borderId="1" applyAlignment="1" pivotButton="0" quotePrefix="0" xfId="0">
      <alignment horizontal="left" vertical="center"/>
    </xf>
    <xf numFmtId="164" fontId="15" fillId="5" borderId="1" applyAlignment="1" pivotButton="0" quotePrefix="0" xfId="0">
      <alignment horizontal="left" vertical="center"/>
    </xf>
    <xf numFmtId="0" fontId="16" fillId="5" borderId="1" applyAlignment="1" pivotButton="0" quotePrefix="0" xfId="0">
      <alignment horizontal="center" vertical="center" wrapText="1"/>
    </xf>
    <xf numFmtId="0" fontId="17" fillId="2" borderId="0" applyAlignment="1" pivotButton="0" quotePrefix="0" xfId="0">
      <alignment horizontal="center" vertical="center"/>
    </xf>
    <xf numFmtId="0" fontId="14" fillId="3" borderId="2" applyAlignment="1" pivotButton="0" quotePrefix="0" xfId="0">
      <alignment horizontal="center" vertical="center" wrapText="1"/>
    </xf>
    <xf numFmtId="166" fontId="15" fillId="9" borderId="1" applyAlignment="1" pivotButton="0" quotePrefix="0" xfId="0">
      <alignment horizontal="left" vertical="center"/>
    </xf>
    <xf numFmtId="166" fontId="15" fillId="5" borderId="1" applyAlignment="1" pivotButton="0" quotePrefix="0" xfId="0">
      <alignment horizontal="left" vertical="center"/>
    </xf>
    <xf numFmtId="0" fontId="14" fillId="2" borderId="2" applyAlignment="1" pivotButton="0" quotePrefix="0" xfId="0">
      <alignment horizontal="center" vertical="center"/>
    </xf>
    <xf numFmtId="0" fontId="14" fillId="3" borderId="2" applyAlignment="1" pivotButton="0" quotePrefix="0" xfId="0">
      <alignment horizontal="center" vertical="center"/>
    </xf>
    <xf numFmtId="0" fontId="18" fillId="7" borderId="1" applyAlignment="1" pivotButton="0" quotePrefix="0" xfId="0">
      <alignment horizontal="left" vertical="center"/>
    </xf>
    <xf numFmtId="0" fontId="19" fillId="9" borderId="1" applyAlignment="1" pivotButton="0" quotePrefix="0" xfId="0">
      <alignment horizontal="left" vertical="center" wrapText="1"/>
    </xf>
    <xf numFmtId="164" fontId="20" fillId="10" borderId="1" applyAlignment="1" pivotButton="0" quotePrefix="0" xfId="0">
      <alignment horizontal="right" vertical="center"/>
    </xf>
    <xf numFmtId="0" fontId="19" fillId="5" borderId="1" applyAlignment="1" pivotButton="0" quotePrefix="0" xfId="0">
      <alignment horizontal="left" vertical="center" wrapText="1"/>
    </xf>
    <xf numFmtId="0" fontId="21" fillId="8" borderId="1" applyAlignment="1" pivotButton="0" quotePrefix="0" xfId="0">
      <alignment horizontal="left" vertical="center"/>
    </xf>
    <xf numFmtId="0" fontId="22" fillId="4" borderId="1" applyAlignment="1" pivotButton="0" quotePrefix="0" xfId="0">
      <alignment horizontal="left" vertical="center"/>
    </xf>
    <xf numFmtId="164" fontId="20" fillId="9" borderId="1" applyAlignment="1" pivotButton="0" quotePrefix="0" xfId="0">
      <alignment horizontal="right" vertical="center"/>
    </xf>
    <xf numFmtId="0" fontId="23" fillId="2" borderId="0" applyAlignment="1" pivotButton="0" quotePrefix="0" xfId="0">
      <alignment horizontal="center" vertical="center"/>
    </xf>
    <xf numFmtId="0" fontId="24" fillId="10" borderId="1" pivotButton="0" quotePrefix="0" xfId="0"/>
    <xf numFmtId="0" fontId="0" fillId="0" borderId="5" pivotButton="0" quotePrefix="0" xfId="0"/>
    <xf numFmtId="0" fontId="0" fillId="0" borderId="6" pivotButton="0" quotePrefix="0" xfId="0"/>
    <xf numFmtId="0" fontId="3" fillId="3" borderId="1" applyAlignment="1" pivotButton="0" quotePrefix="0" xfId="0">
      <alignment horizontal="left" vertical="center"/>
    </xf>
    <xf numFmtId="0" fontId="15" fillId="5" borderId="1" applyAlignment="1" pivotButton="0" quotePrefix="0" xfId="0">
      <alignment horizontal="left" vertical="center" wrapText="1"/>
    </xf>
    <xf numFmtId="0" fontId="19" fillId="5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15" fillId="10" borderId="1" pivotButton="0" quotePrefix="0" xfId="0"/>
    <xf numFmtId="0" fontId="15" fillId="9" borderId="1" applyAlignment="1" pivotButton="0" quotePrefix="0" xfId="0">
      <alignment horizontal="left" vertical="center" wrapText="1"/>
    </xf>
    <xf numFmtId="0" fontId="19" fillId="9" borderId="1" applyAlignment="1" pivotButton="0" quotePrefix="0" xfId="0">
      <alignment horizontal="center" vertical="center"/>
    </xf>
    <xf numFmtId="165" fontId="15" fillId="9" borderId="1" applyAlignment="1" pivotButton="0" quotePrefix="0" xfId="0">
      <alignment horizontal="left" vertical="center" wrapText="1"/>
    </xf>
    <xf numFmtId="164" fontId="15" fillId="9" borderId="1" applyAlignment="1" pivotButton="0" quotePrefix="0" xfId="0">
      <alignment horizontal="left" vertical="center" wrapText="1"/>
    </xf>
    <xf numFmtId="165" fontId="15" fillId="5" borderId="1" applyAlignment="1" pivotButton="0" quotePrefix="0" xfId="0">
      <alignment horizontal="left" vertical="center" wrapText="1"/>
    </xf>
    <xf numFmtId="164" fontId="15" fillId="5" borderId="1" applyAlignment="1" pivotButton="0" quotePrefix="0" xfId="0">
      <alignment horizontal="left" vertical="center" wrapText="1"/>
    </xf>
    <xf numFmtId="166" fontId="15" fillId="9" borderId="1" applyAlignment="1" pivotButton="0" quotePrefix="0" xfId="0">
      <alignment horizontal="left" vertical="center"/>
    </xf>
    <xf numFmtId="166" fontId="15" fillId="5" borderId="1" applyAlignment="1" pivotButton="0" quotePrefix="0" xfId="0">
      <alignment horizontal="left" vertical="center"/>
    </xf>
  </cellXfs>
  <cellStyles count="1">
    <cellStyle name="Normal" xfId="0" builtinId="0" hidden="0"/>
  </cellStyles>
  <dxfs count="4">
    <dxf>
      <font>
        <name val="Arial"/>
        <b val="1"/>
        <color rgb="001B3A6B"/>
        <sz val="9"/>
      </font>
      <fill>
        <patternFill patternType="solid">
          <fgColor rgb="00D6E4F7"/>
        </patternFill>
      </fill>
    </dxf>
    <dxf>
      <font>
        <name val="Arial"/>
        <b val="1"/>
        <color rgb="00B45309"/>
        <sz val="9"/>
      </font>
      <fill>
        <patternFill patternType="solid">
          <fgColor rgb="00FEF3C7"/>
        </patternFill>
      </fill>
    </dxf>
    <dxf>
      <font>
        <name val="Arial"/>
        <b val="1"/>
        <color rgb="001A6B3A"/>
        <sz val="9"/>
      </font>
      <fill>
        <patternFill patternType="solid">
          <fgColor rgb="00D6F7E4"/>
        </patternFill>
      </fill>
    </dxf>
    <dxf>
      <font>
        <name val="Arial"/>
        <b val="1"/>
        <color rgb="00C0392B"/>
        <sz val="9"/>
      </font>
      <fill>
        <patternFill patternType="solid">
          <fgColor rgb="00FADBD8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3" customWidth="1" min="8" max="8"/>
  </cols>
  <sheetData>
    <row r="1" ht="10" customHeight="1"/>
    <row r="2" ht="36" customHeight="1">
      <c r="B2" s="1" t="inlineStr">
        <is>
          <t>EMPRESA MANUFATUREIRA — CONTROLO FINANCEIRO DE ENCOMENDAS</t>
        </is>
      </c>
    </row>
    <row r="3" ht="22" customHeight="1">
      <c r="B3" s="2" t="inlineStr">
        <is>
          <t>Painel de Gestão  |  Encomendas · Fornecedores · Fluxo de Caixa</t>
        </is>
      </c>
    </row>
    <row r="4" ht="10" customHeight="1"/>
    <row r="5" ht="14" customHeight="1"/>
    <row r="6" ht="16" customHeight="1">
      <c r="B6" s="3" t="inlineStr">
        <is>
          <t>RESUMO EXECUTIVO — POSIÇÃO ACTUAL</t>
        </is>
      </c>
      <c r="C6" s="37" t="n"/>
      <c r="D6" s="37" t="n"/>
      <c r="E6" s="37" t="n"/>
      <c r="F6" s="37" t="n"/>
      <c r="G6" s="38" t="n"/>
    </row>
    <row r="7" ht="28" customHeight="1">
      <c r="B7" s="4" t="inlineStr">
        <is>
          <t>Total Encomendas
Em Aberto</t>
        </is>
      </c>
      <c r="C7" s="5" t="inlineStr">
        <is>
          <t>Receita Prevista
(€)</t>
        </is>
      </c>
      <c r="D7" s="6" t="inlineStr">
        <is>
          <t>Total a Pagar
Fornecedores (€)</t>
        </is>
      </c>
      <c r="E7" s="7" t="inlineStr">
        <is>
          <t>Saldo Pago
Antecipado (€)</t>
        </is>
      </c>
      <c r="F7" s="8" t="inlineStr">
        <is>
          <t>Saldo Devedor
Restante (€)</t>
        </is>
      </c>
    </row>
    <row r="8" ht="28" customHeight="1">
      <c r="B8" s="9">
        <f>COUNTIF(Encomendas!C:C,"Em Aberto")</f>
        <v/>
      </c>
      <c r="C8" s="10">
        <f>SUMIF(Encomendas!C:C,"Em Aberto",Encomendas!F:F)</f>
        <v/>
      </c>
      <c r="D8" s="11">
        <f>SUMIF(Encomendas!C:C,"Em Aberto",Encomendas!H:H)</f>
        <v/>
      </c>
      <c r="E8" s="12">
        <f>SUMIF(Encomendas!C:C,"Em Aberto",Encomendas!I:I)</f>
        <v/>
      </c>
      <c r="F8" s="13">
        <f>SUMIF(Encomendas!C:C,"Em Aberto",Encomendas!J:J)</f>
        <v/>
      </c>
    </row>
    <row r="9" ht="14" customHeight="1"/>
    <row r="10" ht="10" customHeight="1"/>
    <row r="11" ht="18" customHeight="1">
      <c r="B11" s="3" t="inlineStr">
        <is>
          <t>ENCOMENDAS EM ABERTO — VISÃO GERAL</t>
        </is>
      </c>
      <c r="C11" s="37" t="n"/>
      <c r="D11" s="37" t="n"/>
      <c r="E11" s="37" t="n"/>
      <c r="F11" s="37" t="n"/>
      <c r="G11" s="38" t="n"/>
    </row>
    <row r="12" ht="22" customHeight="1">
      <c r="B12" s="14" t="inlineStr">
        <is>
          <t>Encomenda</t>
        </is>
      </c>
      <c r="C12" s="14" t="inlineStr">
        <is>
          <t>Cliente</t>
        </is>
      </c>
      <c r="D12" s="14" t="inlineStr">
        <is>
          <t>Estado</t>
        </is>
      </c>
      <c r="E12" s="14" t="inlineStr">
        <is>
          <t>Prazo Entrega</t>
        </is>
      </c>
      <c r="F12" s="14" t="inlineStr">
        <is>
          <t>Receita (€)</t>
        </is>
      </c>
      <c r="G12" s="14" t="inlineStr">
        <is>
          <t>A Pagar Forn. (€)</t>
        </is>
      </c>
    </row>
    <row r="13" ht="18" customHeight="1">
      <c r="B13" s="15">
        <f>IFERROR(INDEX(Encomendas!B:B,MATCH(SMALL(IF(Encomendas!C$3:C$102="Em Aberto",ROW(Encomendas!C$3:C$102)),ROW()-12),ROW(Encomendas!C$3:C$102),0)),"")</f>
        <v/>
      </c>
      <c r="C13" s="15">
        <f>IFERROR(INDEX(Encomendas!D:D,MATCH(SMALL(IF(Encomendas!C$3:C$102="Em Aberto",ROW(Encomendas!C$3:C$102)),ROW()-12),ROW(Encomendas!C$3:C$102),0)),"")</f>
        <v/>
      </c>
      <c r="D13" s="15">
        <f>IFERROR(INDEX(Encomendas!C:C,MATCH(SMALL(IF(Encomendas!C$3:C$102="Em Aberto",ROW(Encomendas!C$3:C$102)),ROW()-12),ROW(Encomendas!C$3:C$102),0)),"")</f>
        <v/>
      </c>
      <c r="E13" s="16">
        <f>IFERROR(INDEX(Encomendas!G:G,MATCH(SMALL(IF(Encomendas!C$3:C$102="Em Aberto",ROW(Encomendas!C$3:C$102)),ROW()-12),ROW(Encomendas!C$3:C$102),0)),"")</f>
        <v/>
      </c>
      <c r="F13" s="17">
        <f>IFERROR(INDEX(Encomendas!F:F,MATCH(SMALL(IF(Encomendas!C$3:C$102="Em Aberto",ROW(Encomendas!C$3:C$102)),ROW()-12),ROW(Encomendas!C$3:C$102),0)),"")</f>
        <v/>
      </c>
      <c r="G13" s="17">
        <f>IFERROR(INDEX(Encomendas!J:J,MATCH(SMALL(IF(Encomendas!C$3:C$102="Em Aberto",ROW(Encomendas!C$3:C$102)),ROW()-12),ROW(Encomendas!C$3:C$102),0)),"")</f>
        <v/>
      </c>
    </row>
    <row r="14" ht="18" customHeight="1">
      <c r="B14" s="18">
        <f>IFERROR(INDEX(Encomendas!B:B,MATCH(SMALL(IF(Encomendas!C$3:C$102="Em Aberto",ROW(Encomendas!C$3:C$102)),ROW()-12),ROW(Encomendas!C$3:C$102),0)),"")</f>
        <v/>
      </c>
      <c r="C14" s="18">
        <f>IFERROR(INDEX(Encomendas!D:D,MATCH(SMALL(IF(Encomendas!C$3:C$102="Em Aberto",ROW(Encomendas!C$3:C$102)),ROW()-12),ROW(Encomendas!C$3:C$102),0)),"")</f>
        <v/>
      </c>
      <c r="D14" s="18">
        <f>IFERROR(INDEX(Encomendas!C:C,MATCH(SMALL(IF(Encomendas!C$3:C$102="Em Aberto",ROW(Encomendas!C$3:C$102)),ROW()-12),ROW(Encomendas!C$3:C$102),0)),"")</f>
        <v/>
      </c>
      <c r="E14" s="19">
        <f>IFERROR(INDEX(Encomendas!G:G,MATCH(SMALL(IF(Encomendas!C$3:C$102="Em Aberto",ROW(Encomendas!C$3:C$102)),ROW()-12),ROW(Encomendas!C$3:C$102),0)),"")</f>
        <v/>
      </c>
      <c r="F14" s="20">
        <f>IFERROR(INDEX(Encomendas!F:F,MATCH(SMALL(IF(Encomendas!C$3:C$102="Em Aberto",ROW(Encomendas!C$3:C$102)),ROW()-12),ROW(Encomendas!C$3:C$102),0)),"")</f>
        <v/>
      </c>
      <c r="G14" s="20">
        <f>IFERROR(INDEX(Encomendas!J:J,MATCH(SMALL(IF(Encomendas!C$3:C$102="Em Aberto",ROW(Encomendas!C$3:C$102)),ROW()-12),ROW(Encomendas!C$3:C$102),0)),"")</f>
        <v/>
      </c>
    </row>
    <row r="15" ht="18" customHeight="1">
      <c r="B15" s="15">
        <f>IFERROR(INDEX(Encomendas!B:B,MATCH(SMALL(IF(Encomendas!C$3:C$102="Em Aberto",ROW(Encomendas!C$3:C$102)),ROW()-12),ROW(Encomendas!C$3:C$102),0)),"")</f>
        <v/>
      </c>
      <c r="C15" s="15">
        <f>IFERROR(INDEX(Encomendas!D:D,MATCH(SMALL(IF(Encomendas!C$3:C$102="Em Aberto",ROW(Encomendas!C$3:C$102)),ROW()-12),ROW(Encomendas!C$3:C$102),0)),"")</f>
        <v/>
      </c>
      <c r="D15" s="15">
        <f>IFERROR(INDEX(Encomendas!C:C,MATCH(SMALL(IF(Encomendas!C$3:C$102="Em Aberto",ROW(Encomendas!C$3:C$102)),ROW()-12),ROW(Encomendas!C$3:C$102),0)),"")</f>
        <v/>
      </c>
      <c r="E15" s="16">
        <f>IFERROR(INDEX(Encomendas!G:G,MATCH(SMALL(IF(Encomendas!C$3:C$102="Em Aberto",ROW(Encomendas!C$3:C$102)),ROW()-12),ROW(Encomendas!C$3:C$102),0)),"")</f>
        <v/>
      </c>
      <c r="F15" s="17">
        <f>IFERROR(INDEX(Encomendas!F:F,MATCH(SMALL(IF(Encomendas!C$3:C$102="Em Aberto",ROW(Encomendas!C$3:C$102)),ROW()-12),ROW(Encomendas!C$3:C$102),0)),"")</f>
        <v/>
      </c>
      <c r="G15" s="17">
        <f>IFERROR(INDEX(Encomendas!J:J,MATCH(SMALL(IF(Encomendas!C$3:C$102="Em Aberto",ROW(Encomendas!C$3:C$102)),ROW()-12),ROW(Encomendas!C$3:C$102),0)),"")</f>
        <v/>
      </c>
    </row>
    <row r="16" ht="18" customHeight="1">
      <c r="B16" s="18">
        <f>IFERROR(INDEX(Encomendas!B:B,MATCH(SMALL(IF(Encomendas!C$3:C$102="Em Aberto",ROW(Encomendas!C$3:C$102)),ROW()-12),ROW(Encomendas!C$3:C$102),0)),"")</f>
        <v/>
      </c>
      <c r="C16" s="18">
        <f>IFERROR(INDEX(Encomendas!D:D,MATCH(SMALL(IF(Encomendas!C$3:C$102="Em Aberto",ROW(Encomendas!C$3:C$102)),ROW()-12),ROW(Encomendas!C$3:C$102),0)),"")</f>
        <v/>
      </c>
      <c r="D16" s="18">
        <f>IFERROR(INDEX(Encomendas!C:C,MATCH(SMALL(IF(Encomendas!C$3:C$102="Em Aberto",ROW(Encomendas!C$3:C$102)),ROW()-12),ROW(Encomendas!C$3:C$102),0)),"")</f>
        <v/>
      </c>
      <c r="E16" s="19">
        <f>IFERROR(INDEX(Encomendas!G:G,MATCH(SMALL(IF(Encomendas!C$3:C$102="Em Aberto",ROW(Encomendas!C$3:C$102)),ROW()-12),ROW(Encomendas!C$3:C$102),0)),"")</f>
        <v/>
      </c>
      <c r="F16" s="20">
        <f>IFERROR(INDEX(Encomendas!F:F,MATCH(SMALL(IF(Encomendas!C$3:C$102="Em Aberto",ROW(Encomendas!C$3:C$102)),ROW()-12),ROW(Encomendas!C$3:C$102),0)),"")</f>
        <v/>
      </c>
      <c r="G16" s="20">
        <f>IFERROR(INDEX(Encomendas!J:J,MATCH(SMALL(IF(Encomendas!C$3:C$102="Em Aberto",ROW(Encomendas!C$3:C$102)),ROW()-12),ROW(Encomendas!C$3:C$102),0)),"")</f>
        <v/>
      </c>
    </row>
    <row r="17" ht="18" customHeight="1">
      <c r="B17" s="15">
        <f>IFERROR(INDEX(Encomendas!B:B,MATCH(SMALL(IF(Encomendas!C$3:C$102="Em Aberto",ROW(Encomendas!C$3:C$102)),ROW()-12),ROW(Encomendas!C$3:C$102),0)),"")</f>
        <v/>
      </c>
      <c r="C17" s="15">
        <f>IFERROR(INDEX(Encomendas!D:D,MATCH(SMALL(IF(Encomendas!C$3:C$102="Em Aberto",ROW(Encomendas!C$3:C$102)),ROW()-12),ROW(Encomendas!C$3:C$102),0)),"")</f>
        <v/>
      </c>
      <c r="D17" s="15">
        <f>IFERROR(INDEX(Encomendas!C:C,MATCH(SMALL(IF(Encomendas!C$3:C$102="Em Aberto",ROW(Encomendas!C$3:C$102)),ROW()-12),ROW(Encomendas!C$3:C$102),0)),"")</f>
        <v/>
      </c>
      <c r="E17" s="16">
        <f>IFERROR(INDEX(Encomendas!G:G,MATCH(SMALL(IF(Encomendas!C$3:C$102="Em Aberto",ROW(Encomendas!C$3:C$102)),ROW()-12),ROW(Encomendas!C$3:C$102),0)),"")</f>
        <v/>
      </c>
      <c r="F17" s="17">
        <f>IFERROR(INDEX(Encomendas!F:F,MATCH(SMALL(IF(Encomendas!C$3:C$102="Em Aberto",ROW(Encomendas!C$3:C$102)),ROW()-12),ROW(Encomendas!C$3:C$102),0)),"")</f>
        <v/>
      </c>
      <c r="G17" s="17">
        <f>IFERROR(INDEX(Encomendas!J:J,MATCH(SMALL(IF(Encomendas!C$3:C$102="Em Aberto",ROW(Encomendas!C$3:C$102)),ROW()-12),ROW(Encomendas!C$3:C$102),0)),"")</f>
        <v/>
      </c>
    </row>
    <row r="18" ht="18" customHeight="1">
      <c r="B18" s="18">
        <f>IFERROR(INDEX(Encomendas!B:B,MATCH(SMALL(IF(Encomendas!C$3:C$102="Em Aberto",ROW(Encomendas!C$3:C$102)),ROW()-12),ROW(Encomendas!C$3:C$102),0)),"")</f>
        <v/>
      </c>
      <c r="C18" s="18">
        <f>IFERROR(INDEX(Encomendas!D:D,MATCH(SMALL(IF(Encomendas!C$3:C$102="Em Aberto",ROW(Encomendas!C$3:C$102)),ROW()-12),ROW(Encomendas!C$3:C$102),0)),"")</f>
        <v/>
      </c>
      <c r="D18" s="18">
        <f>IFERROR(INDEX(Encomendas!C:C,MATCH(SMALL(IF(Encomendas!C$3:C$102="Em Aberto",ROW(Encomendas!C$3:C$102)),ROW()-12),ROW(Encomendas!C$3:C$102),0)),"")</f>
        <v/>
      </c>
      <c r="E18" s="19">
        <f>IFERROR(INDEX(Encomendas!G:G,MATCH(SMALL(IF(Encomendas!C$3:C$102="Em Aberto",ROW(Encomendas!C$3:C$102)),ROW()-12),ROW(Encomendas!C$3:C$102),0)),"")</f>
        <v/>
      </c>
      <c r="F18" s="20">
        <f>IFERROR(INDEX(Encomendas!F:F,MATCH(SMALL(IF(Encomendas!C$3:C$102="Em Aberto",ROW(Encomendas!C$3:C$102)),ROW()-12),ROW(Encomendas!C$3:C$102),0)),"")</f>
        <v/>
      </c>
      <c r="G18" s="20">
        <f>IFERROR(INDEX(Encomendas!J:J,MATCH(SMALL(IF(Encomendas!C$3:C$102="Em Aberto",ROW(Encomendas!C$3:C$102)),ROW()-12),ROW(Encomendas!C$3:C$102),0)),"")</f>
        <v/>
      </c>
    </row>
    <row r="19" ht="18" customHeight="1">
      <c r="B19" s="15">
        <f>IFERROR(INDEX(Encomendas!B:B,MATCH(SMALL(IF(Encomendas!C$3:C$102="Em Aberto",ROW(Encomendas!C$3:C$102)),ROW()-12),ROW(Encomendas!C$3:C$102),0)),"")</f>
        <v/>
      </c>
      <c r="C19" s="15">
        <f>IFERROR(INDEX(Encomendas!D:D,MATCH(SMALL(IF(Encomendas!C$3:C$102="Em Aberto",ROW(Encomendas!C$3:C$102)),ROW()-12),ROW(Encomendas!C$3:C$102),0)),"")</f>
        <v/>
      </c>
      <c r="D19" s="15">
        <f>IFERROR(INDEX(Encomendas!C:C,MATCH(SMALL(IF(Encomendas!C$3:C$102="Em Aberto",ROW(Encomendas!C$3:C$102)),ROW()-12),ROW(Encomendas!C$3:C$102),0)),"")</f>
        <v/>
      </c>
      <c r="E19" s="16">
        <f>IFERROR(INDEX(Encomendas!G:G,MATCH(SMALL(IF(Encomendas!C$3:C$102="Em Aberto",ROW(Encomendas!C$3:C$102)),ROW()-12),ROW(Encomendas!C$3:C$102),0)),"")</f>
        <v/>
      </c>
      <c r="F19" s="17">
        <f>IFERROR(INDEX(Encomendas!F:F,MATCH(SMALL(IF(Encomendas!C$3:C$102="Em Aberto",ROW(Encomendas!C$3:C$102)),ROW()-12),ROW(Encomendas!C$3:C$102),0)),"")</f>
        <v/>
      </c>
      <c r="G19" s="17">
        <f>IFERROR(INDEX(Encomendas!J:J,MATCH(SMALL(IF(Encomendas!C$3:C$102="Em Aberto",ROW(Encomendas!C$3:C$102)),ROW()-12),ROW(Encomendas!C$3:C$102),0)),"")</f>
        <v/>
      </c>
    </row>
    <row r="20" ht="18" customHeight="1">
      <c r="B20" s="18">
        <f>IFERROR(INDEX(Encomendas!B:B,MATCH(SMALL(IF(Encomendas!C$3:C$102="Em Aberto",ROW(Encomendas!C$3:C$102)),ROW()-12),ROW(Encomendas!C$3:C$102),0)),"")</f>
        <v/>
      </c>
      <c r="C20" s="18">
        <f>IFERROR(INDEX(Encomendas!D:D,MATCH(SMALL(IF(Encomendas!C$3:C$102="Em Aberto",ROW(Encomendas!C$3:C$102)),ROW()-12),ROW(Encomendas!C$3:C$102),0)),"")</f>
        <v/>
      </c>
      <c r="D20" s="18">
        <f>IFERROR(INDEX(Encomendas!C:C,MATCH(SMALL(IF(Encomendas!C$3:C$102="Em Aberto",ROW(Encomendas!C$3:C$102)),ROW()-12),ROW(Encomendas!C$3:C$102),0)),"")</f>
        <v/>
      </c>
      <c r="E20" s="19">
        <f>IFERROR(INDEX(Encomendas!G:G,MATCH(SMALL(IF(Encomendas!C$3:C$102="Em Aberto",ROW(Encomendas!C$3:C$102)),ROW()-12),ROW(Encomendas!C$3:C$102),0)),"")</f>
        <v/>
      </c>
      <c r="F20" s="20">
        <f>IFERROR(INDEX(Encomendas!F:F,MATCH(SMALL(IF(Encomendas!C$3:C$102="Em Aberto",ROW(Encomendas!C$3:C$102)),ROW()-12),ROW(Encomendas!C$3:C$102),0)),"")</f>
        <v/>
      </c>
      <c r="G20" s="20">
        <f>IFERROR(INDEX(Encomendas!J:J,MATCH(SMALL(IF(Encomendas!C$3:C$102="Em Aberto",ROW(Encomendas!C$3:C$102)),ROW()-12),ROW(Encomendas!C$3:C$102),0)),"")</f>
        <v/>
      </c>
    </row>
    <row r="21" ht="18" customHeight="1">
      <c r="B21" s="15">
        <f>IFERROR(INDEX(Encomendas!B:B,MATCH(SMALL(IF(Encomendas!C$3:C$102="Em Aberto",ROW(Encomendas!C$3:C$102)),ROW()-12),ROW(Encomendas!C$3:C$102),0)),"")</f>
        <v/>
      </c>
      <c r="C21" s="15">
        <f>IFERROR(INDEX(Encomendas!D:D,MATCH(SMALL(IF(Encomendas!C$3:C$102="Em Aberto",ROW(Encomendas!C$3:C$102)),ROW()-12),ROW(Encomendas!C$3:C$102),0)),"")</f>
        <v/>
      </c>
      <c r="D21" s="15">
        <f>IFERROR(INDEX(Encomendas!C:C,MATCH(SMALL(IF(Encomendas!C$3:C$102="Em Aberto",ROW(Encomendas!C$3:C$102)),ROW()-12),ROW(Encomendas!C$3:C$102),0)),"")</f>
        <v/>
      </c>
      <c r="E21" s="16">
        <f>IFERROR(INDEX(Encomendas!G:G,MATCH(SMALL(IF(Encomendas!C$3:C$102="Em Aberto",ROW(Encomendas!C$3:C$102)),ROW()-12),ROW(Encomendas!C$3:C$102),0)),"")</f>
        <v/>
      </c>
      <c r="F21" s="17">
        <f>IFERROR(INDEX(Encomendas!F:F,MATCH(SMALL(IF(Encomendas!C$3:C$102="Em Aberto",ROW(Encomendas!C$3:C$102)),ROW()-12),ROW(Encomendas!C$3:C$102),0)),"")</f>
        <v/>
      </c>
      <c r="G21" s="17">
        <f>IFERROR(INDEX(Encomendas!J:J,MATCH(SMALL(IF(Encomendas!C$3:C$102="Em Aberto",ROW(Encomendas!C$3:C$102)),ROW()-12),ROW(Encomendas!C$3:C$102),0)),"")</f>
        <v/>
      </c>
    </row>
    <row r="22" ht="18" customHeight="1">
      <c r="B22" s="18">
        <f>IFERROR(INDEX(Encomendas!B:B,MATCH(SMALL(IF(Encomendas!C$3:C$102="Em Aberto",ROW(Encomendas!C$3:C$102)),ROW()-12),ROW(Encomendas!C$3:C$102),0)),"")</f>
        <v/>
      </c>
      <c r="C22" s="18">
        <f>IFERROR(INDEX(Encomendas!D:D,MATCH(SMALL(IF(Encomendas!C$3:C$102="Em Aberto",ROW(Encomendas!C$3:C$102)),ROW()-12),ROW(Encomendas!C$3:C$102),0)),"")</f>
        <v/>
      </c>
      <c r="D22" s="18">
        <f>IFERROR(INDEX(Encomendas!C:C,MATCH(SMALL(IF(Encomendas!C$3:C$102="Em Aberto",ROW(Encomendas!C$3:C$102)),ROW()-12),ROW(Encomendas!C$3:C$102),0)),"")</f>
        <v/>
      </c>
      <c r="E22" s="19">
        <f>IFERROR(INDEX(Encomendas!G:G,MATCH(SMALL(IF(Encomendas!C$3:C$102="Em Aberto",ROW(Encomendas!C$3:C$102)),ROW()-12),ROW(Encomendas!C$3:C$102),0)),"")</f>
        <v/>
      </c>
      <c r="F22" s="20">
        <f>IFERROR(INDEX(Encomendas!F:F,MATCH(SMALL(IF(Encomendas!C$3:C$102="Em Aberto",ROW(Encomendas!C$3:C$102)),ROW()-12),ROW(Encomendas!C$3:C$102),0)),"")</f>
        <v/>
      </c>
      <c r="G22" s="20">
        <f>IFERROR(INDEX(Encomendas!J:J,MATCH(SMALL(IF(Encomendas!C$3:C$102="Em Aberto",ROW(Encomendas!C$3:C$102)),ROW()-12),ROW(Encomendas!C$3:C$102),0)),"")</f>
        <v/>
      </c>
    </row>
    <row r="23" ht="18" customHeight="1">
      <c r="B23" s="15">
        <f>IFERROR(INDEX(Encomendas!B:B,MATCH(SMALL(IF(Encomendas!C$3:C$102="Em Aberto",ROW(Encomendas!C$3:C$102)),ROW()-12),ROW(Encomendas!C$3:C$102),0)),"")</f>
        <v/>
      </c>
      <c r="C23" s="15">
        <f>IFERROR(INDEX(Encomendas!D:D,MATCH(SMALL(IF(Encomendas!C$3:C$102="Em Aberto",ROW(Encomendas!C$3:C$102)),ROW()-12),ROW(Encomendas!C$3:C$102),0)),"")</f>
        <v/>
      </c>
      <c r="D23" s="15">
        <f>IFERROR(INDEX(Encomendas!C:C,MATCH(SMALL(IF(Encomendas!C$3:C$102="Em Aberto",ROW(Encomendas!C$3:C$102)),ROW()-12),ROW(Encomendas!C$3:C$102),0)),"")</f>
        <v/>
      </c>
      <c r="E23" s="16">
        <f>IFERROR(INDEX(Encomendas!G:G,MATCH(SMALL(IF(Encomendas!C$3:C$102="Em Aberto",ROW(Encomendas!C$3:C$102)),ROW()-12),ROW(Encomendas!C$3:C$102),0)),"")</f>
        <v/>
      </c>
      <c r="F23" s="17">
        <f>IFERROR(INDEX(Encomendas!F:F,MATCH(SMALL(IF(Encomendas!C$3:C$102="Em Aberto",ROW(Encomendas!C$3:C$102)),ROW()-12),ROW(Encomendas!C$3:C$102),0)),"")</f>
        <v/>
      </c>
      <c r="G23" s="17">
        <f>IFERROR(INDEX(Encomendas!J:J,MATCH(SMALL(IF(Encomendas!C$3:C$102="Em Aberto",ROW(Encomendas!C$3:C$102)),ROW()-12),ROW(Encomendas!C$3:C$102),0)),"")</f>
        <v/>
      </c>
    </row>
    <row r="24" ht="18" customHeight="1">
      <c r="B24" s="18">
        <f>IFERROR(INDEX(Encomendas!B:B,MATCH(SMALL(IF(Encomendas!C$3:C$102="Em Aberto",ROW(Encomendas!C$3:C$102)),ROW()-12),ROW(Encomendas!C$3:C$102),0)),"")</f>
        <v/>
      </c>
      <c r="C24" s="18">
        <f>IFERROR(INDEX(Encomendas!D:D,MATCH(SMALL(IF(Encomendas!C$3:C$102="Em Aberto",ROW(Encomendas!C$3:C$102)),ROW()-12),ROW(Encomendas!C$3:C$102),0)),"")</f>
        <v/>
      </c>
      <c r="D24" s="18">
        <f>IFERROR(INDEX(Encomendas!C:C,MATCH(SMALL(IF(Encomendas!C$3:C$102="Em Aberto",ROW(Encomendas!C$3:C$102)),ROW()-12),ROW(Encomendas!C$3:C$102),0)),"")</f>
        <v/>
      </c>
      <c r="E24" s="19">
        <f>IFERROR(INDEX(Encomendas!G:G,MATCH(SMALL(IF(Encomendas!C$3:C$102="Em Aberto",ROW(Encomendas!C$3:C$102)),ROW()-12),ROW(Encomendas!C$3:C$102),0)),"")</f>
        <v/>
      </c>
      <c r="F24" s="20">
        <f>IFERROR(INDEX(Encomendas!F:F,MATCH(SMALL(IF(Encomendas!C$3:C$102="Em Aberto",ROW(Encomendas!C$3:C$102)),ROW()-12),ROW(Encomendas!C$3:C$102),0)),"")</f>
        <v/>
      </c>
      <c r="G24" s="20">
        <f>IFERROR(INDEX(Encomendas!J:J,MATCH(SMALL(IF(Encomendas!C$3:C$102="Em Aberto",ROW(Encomendas!C$3:C$102)),ROW()-12),ROW(Encomendas!C$3:C$102),0)),"")</f>
        <v/>
      </c>
    </row>
    <row r="25" ht="18" customHeight="1">
      <c r="B25" s="15">
        <f>IFERROR(INDEX(Encomendas!B:B,MATCH(SMALL(IF(Encomendas!C$3:C$102="Em Aberto",ROW(Encomendas!C$3:C$102)),ROW()-12),ROW(Encomendas!C$3:C$102),0)),"")</f>
        <v/>
      </c>
      <c r="C25" s="15">
        <f>IFERROR(INDEX(Encomendas!D:D,MATCH(SMALL(IF(Encomendas!C$3:C$102="Em Aberto",ROW(Encomendas!C$3:C$102)),ROW()-12),ROW(Encomendas!C$3:C$102),0)),"")</f>
        <v/>
      </c>
      <c r="D25" s="15">
        <f>IFERROR(INDEX(Encomendas!C:C,MATCH(SMALL(IF(Encomendas!C$3:C$102="Em Aberto",ROW(Encomendas!C$3:C$102)),ROW()-12),ROW(Encomendas!C$3:C$102),0)),"")</f>
        <v/>
      </c>
      <c r="E25" s="16">
        <f>IFERROR(INDEX(Encomendas!G:G,MATCH(SMALL(IF(Encomendas!C$3:C$102="Em Aberto",ROW(Encomendas!C$3:C$102)),ROW()-12),ROW(Encomendas!C$3:C$102),0)),"")</f>
        <v/>
      </c>
      <c r="F25" s="17">
        <f>IFERROR(INDEX(Encomendas!F:F,MATCH(SMALL(IF(Encomendas!C$3:C$102="Em Aberto",ROW(Encomendas!C$3:C$102)),ROW()-12),ROW(Encomendas!C$3:C$102),0)),"")</f>
        <v/>
      </c>
      <c r="G25" s="17">
        <f>IFERROR(INDEX(Encomendas!J:J,MATCH(SMALL(IF(Encomendas!C$3:C$102="Em Aberto",ROW(Encomendas!C$3:C$102)),ROW()-12),ROW(Encomendas!C$3:C$102),0)),"")</f>
        <v/>
      </c>
    </row>
    <row r="26" ht="18" customHeight="1">
      <c r="B26" s="18">
        <f>IFERROR(INDEX(Encomendas!B:B,MATCH(SMALL(IF(Encomendas!C$3:C$102="Em Aberto",ROW(Encomendas!C$3:C$102)),ROW()-12),ROW(Encomendas!C$3:C$102),0)),"")</f>
        <v/>
      </c>
      <c r="C26" s="18">
        <f>IFERROR(INDEX(Encomendas!D:D,MATCH(SMALL(IF(Encomendas!C$3:C$102="Em Aberto",ROW(Encomendas!C$3:C$102)),ROW()-12),ROW(Encomendas!C$3:C$102),0)),"")</f>
        <v/>
      </c>
      <c r="D26" s="18">
        <f>IFERROR(INDEX(Encomendas!C:C,MATCH(SMALL(IF(Encomendas!C$3:C$102="Em Aberto",ROW(Encomendas!C$3:C$102)),ROW()-12),ROW(Encomendas!C$3:C$102),0)),"")</f>
        <v/>
      </c>
      <c r="E26" s="19">
        <f>IFERROR(INDEX(Encomendas!G:G,MATCH(SMALL(IF(Encomendas!C$3:C$102="Em Aberto",ROW(Encomendas!C$3:C$102)),ROW()-12),ROW(Encomendas!C$3:C$102),0)),"")</f>
        <v/>
      </c>
      <c r="F26" s="20">
        <f>IFERROR(INDEX(Encomendas!F:F,MATCH(SMALL(IF(Encomendas!C$3:C$102="Em Aberto",ROW(Encomendas!C$3:C$102)),ROW()-12),ROW(Encomendas!C$3:C$102),0)),"")</f>
        <v/>
      </c>
      <c r="G26" s="20">
        <f>IFERROR(INDEX(Encomendas!J:J,MATCH(SMALL(IF(Encomendas!C$3:C$102="Em Aberto",ROW(Encomendas!C$3:C$102)),ROW()-12),ROW(Encomendas!C$3:C$102),0)),"")</f>
        <v/>
      </c>
    </row>
    <row r="27" ht="18" customHeight="1">
      <c r="B27" s="15">
        <f>IFERROR(INDEX(Encomendas!B:B,MATCH(SMALL(IF(Encomendas!C$3:C$102="Em Aberto",ROW(Encomendas!C$3:C$102)),ROW()-12),ROW(Encomendas!C$3:C$102),0)),"")</f>
        <v/>
      </c>
      <c r="C27" s="15">
        <f>IFERROR(INDEX(Encomendas!D:D,MATCH(SMALL(IF(Encomendas!C$3:C$102="Em Aberto",ROW(Encomendas!C$3:C$102)),ROW()-12),ROW(Encomendas!C$3:C$102),0)),"")</f>
        <v/>
      </c>
      <c r="D27" s="15">
        <f>IFERROR(INDEX(Encomendas!C:C,MATCH(SMALL(IF(Encomendas!C$3:C$102="Em Aberto",ROW(Encomendas!C$3:C$102)),ROW()-12),ROW(Encomendas!C$3:C$102),0)),"")</f>
        <v/>
      </c>
      <c r="E27" s="16">
        <f>IFERROR(INDEX(Encomendas!G:G,MATCH(SMALL(IF(Encomendas!C$3:C$102="Em Aberto",ROW(Encomendas!C$3:C$102)),ROW()-12),ROW(Encomendas!C$3:C$102),0)),"")</f>
        <v/>
      </c>
      <c r="F27" s="17">
        <f>IFERROR(INDEX(Encomendas!F:F,MATCH(SMALL(IF(Encomendas!C$3:C$102="Em Aberto",ROW(Encomendas!C$3:C$102)),ROW()-12),ROW(Encomendas!C$3:C$102),0)),"")</f>
        <v/>
      </c>
      <c r="G27" s="17">
        <f>IFERROR(INDEX(Encomendas!J:J,MATCH(SMALL(IF(Encomendas!C$3:C$102="Em Aberto",ROW(Encomendas!C$3:C$102)),ROW()-12),ROW(Encomendas!C$3:C$102),0)),"")</f>
        <v/>
      </c>
    </row>
    <row r="28" ht="18" customHeight="1">
      <c r="B28" s="18">
        <f>IFERROR(INDEX(Encomendas!B:B,MATCH(SMALL(IF(Encomendas!C$3:C$102="Em Aberto",ROW(Encomendas!C$3:C$102)),ROW()-12),ROW(Encomendas!C$3:C$102),0)),"")</f>
        <v/>
      </c>
      <c r="C28" s="18">
        <f>IFERROR(INDEX(Encomendas!D:D,MATCH(SMALL(IF(Encomendas!C$3:C$102="Em Aberto",ROW(Encomendas!C$3:C$102)),ROW()-12),ROW(Encomendas!C$3:C$102),0)),"")</f>
        <v/>
      </c>
      <c r="D28" s="18">
        <f>IFERROR(INDEX(Encomendas!C:C,MATCH(SMALL(IF(Encomendas!C$3:C$102="Em Aberto",ROW(Encomendas!C$3:C$102)),ROW()-12),ROW(Encomendas!C$3:C$102),0)),"")</f>
        <v/>
      </c>
      <c r="E28" s="19">
        <f>IFERROR(INDEX(Encomendas!G:G,MATCH(SMALL(IF(Encomendas!C$3:C$102="Em Aberto",ROW(Encomendas!C$3:C$102)),ROW()-12),ROW(Encomendas!C$3:C$102),0)),"")</f>
        <v/>
      </c>
      <c r="F28" s="20">
        <f>IFERROR(INDEX(Encomendas!F:F,MATCH(SMALL(IF(Encomendas!C$3:C$102="Em Aberto",ROW(Encomendas!C$3:C$102)),ROW()-12),ROW(Encomendas!C$3:C$102),0)),"")</f>
        <v/>
      </c>
      <c r="G28" s="20">
        <f>IFERROR(INDEX(Encomendas!J:J,MATCH(SMALL(IF(Encomendas!C$3:C$102="Em Aberto",ROW(Encomendas!C$3:C$102)),ROW()-12),ROW(Encomendas!C$3:C$102),0)),"")</f>
        <v/>
      </c>
    </row>
    <row r="29" ht="18" customHeight="1">
      <c r="B29" s="15">
        <f>IFERROR(INDEX(Encomendas!B:B,MATCH(SMALL(IF(Encomendas!C$3:C$102="Em Aberto",ROW(Encomendas!C$3:C$102)),ROW()-12),ROW(Encomendas!C$3:C$102),0)),"")</f>
        <v/>
      </c>
      <c r="C29" s="15">
        <f>IFERROR(INDEX(Encomendas!D:D,MATCH(SMALL(IF(Encomendas!C$3:C$102="Em Aberto",ROW(Encomendas!C$3:C$102)),ROW()-12),ROW(Encomendas!C$3:C$102),0)),"")</f>
        <v/>
      </c>
      <c r="D29" s="15">
        <f>IFERROR(INDEX(Encomendas!C:C,MATCH(SMALL(IF(Encomendas!C$3:C$102="Em Aberto",ROW(Encomendas!C$3:C$102)),ROW()-12),ROW(Encomendas!C$3:C$102),0)),"")</f>
        <v/>
      </c>
      <c r="E29" s="16">
        <f>IFERROR(INDEX(Encomendas!G:G,MATCH(SMALL(IF(Encomendas!C$3:C$102="Em Aberto",ROW(Encomendas!C$3:C$102)),ROW()-12),ROW(Encomendas!C$3:C$102),0)),"")</f>
        <v/>
      </c>
      <c r="F29" s="17">
        <f>IFERROR(INDEX(Encomendas!F:F,MATCH(SMALL(IF(Encomendas!C$3:C$102="Em Aberto",ROW(Encomendas!C$3:C$102)),ROW()-12),ROW(Encomendas!C$3:C$102),0)),"")</f>
        <v/>
      </c>
      <c r="G29" s="17">
        <f>IFERROR(INDEX(Encomendas!J:J,MATCH(SMALL(IF(Encomendas!C$3:C$102="Em Aberto",ROW(Encomendas!C$3:C$102)),ROW()-12),ROW(Encomendas!C$3:C$102),0)),"")</f>
        <v/>
      </c>
    </row>
    <row r="30" ht="18" customHeight="1">
      <c r="B30" s="18">
        <f>IFERROR(INDEX(Encomendas!B:B,MATCH(SMALL(IF(Encomendas!C$3:C$102="Em Aberto",ROW(Encomendas!C$3:C$102)),ROW()-12),ROW(Encomendas!C$3:C$102),0)),"")</f>
        <v/>
      </c>
      <c r="C30" s="18">
        <f>IFERROR(INDEX(Encomendas!D:D,MATCH(SMALL(IF(Encomendas!C$3:C$102="Em Aberto",ROW(Encomendas!C$3:C$102)),ROW()-12),ROW(Encomendas!C$3:C$102),0)),"")</f>
        <v/>
      </c>
      <c r="D30" s="18">
        <f>IFERROR(INDEX(Encomendas!C:C,MATCH(SMALL(IF(Encomendas!C$3:C$102="Em Aberto",ROW(Encomendas!C$3:C$102)),ROW()-12),ROW(Encomendas!C$3:C$102),0)),"")</f>
        <v/>
      </c>
      <c r="E30" s="19">
        <f>IFERROR(INDEX(Encomendas!G:G,MATCH(SMALL(IF(Encomendas!C$3:C$102="Em Aberto",ROW(Encomendas!C$3:C$102)),ROW()-12),ROW(Encomendas!C$3:C$102),0)),"")</f>
        <v/>
      </c>
      <c r="F30" s="20">
        <f>IFERROR(INDEX(Encomendas!F:F,MATCH(SMALL(IF(Encomendas!C$3:C$102="Em Aberto",ROW(Encomendas!C$3:C$102)),ROW()-12),ROW(Encomendas!C$3:C$102),0)),"")</f>
        <v/>
      </c>
      <c r="G30" s="20">
        <f>IFERROR(INDEX(Encomendas!J:J,MATCH(SMALL(IF(Encomendas!C$3:C$102="Em Aberto",ROW(Encomendas!C$3:C$102)),ROW()-12),ROW(Encomendas!C$3:C$102),0)),"")</f>
        <v/>
      </c>
    </row>
    <row r="31" ht="18" customHeight="1">
      <c r="B31" s="15">
        <f>IFERROR(INDEX(Encomendas!B:B,MATCH(SMALL(IF(Encomendas!C$3:C$102="Em Aberto",ROW(Encomendas!C$3:C$102)),ROW()-12),ROW(Encomendas!C$3:C$102),0)),"")</f>
        <v/>
      </c>
      <c r="C31" s="15">
        <f>IFERROR(INDEX(Encomendas!D:D,MATCH(SMALL(IF(Encomendas!C$3:C$102="Em Aberto",ROW(Encomendas!C$3:C$102)),ROW()-12),ROW(Encomendas!C$3:C$102),0)),"")</f>
        <v/>
      </c>
      <c r="D31" s="15">
        <f>IFERROR(INDEX(Encomendas!C:C,MATCH(SMALL(IF(Encomendas!C$3:C$102="Em Aberto",ROW(Encomendas!C$3:C$102)),ROW()-12),ROW(Encomendas!C$3:C$102),0)),"")</f>
        <v/>
      </c>
      <c r="E31" s="16">
        <f>IFERROR(INDEX(Encomendas!G:G,MATCH(SMALL(IF(Encomendas!C$3:C$102="Em Aberto",ROW(Encomendas!C$3:C$102)),ROW()-12),ROW(Encomendas!C$3:C$102),0)),"")</f>
        <v/>
      </c>
      <c r="F31" s="17">
        <f>IFERROR(INDEX(Encomendas!F:F,MATCH(SMALL(IF(Encomendas!C$3:C$102="Em Aberto",ROW(Encomendas!C$3:C$102)),ROW()-12),ROW(Encomendas!C$3:C$102),0)),"")</f>
        <v/>
      </c>
      <c r="G31" s="17">
        <f>IFERROR(INDEX(Encomendas!J:J,MATCH(SMALL(IF(Encomendas!C$3:C$102="Em Aberto",ROW(Encomendas!C$3:C$102)),ROW()-12),ROW(Encomendas!C$3:C$102),0)),"")</f>
        <v/>
      </c>
    </row>
    <row r="32" ht="18" customHeight="1">
      <c r="B32" s="18">
        <f>IFERROR(INDEX(Encomendas!B:B,MATCH(SMALL(IF(Encomendas!C$3:C$102="Em Aberto",ROW(Encomendas!C$3:C$102)),ROW()-12),ROW(Encomendas!C$3:C$102),0)),"")</f>
        <v/>
      </c>
      <c r="C32" s="18">
        <f>IFERROR(INDEX(Encomendas!D:D,MATCH(SMALL(IF(Encomendas!C$3:C$102="Em Aberto",ROW(Encomendas!C$3:C$102)),ROW()-12),ROW(Encomendas!C$3:C$102),0)),"")</f>
        <v/>
      </c>
      <c r="D32" s="18">
        <f>IFERROR(INDEX(Encomendas!C:C,MATCH(SMALL(IF(Encomendas!C$3:C$102="Em Aberto",ROW(Encomendas!C$3:C$102)),ROW()-12),ROW(Encomendas!C$3:C$102),0)),"")</f>
        <v/>
      </c>
      <c r="E32" s="19">
        <f>IFERROR(INDEX(Encomendas!G:G,MATCH(SMALL(IF(Encomendas!C$3:C$102="Em Aberto",ROW(Encomendas!C$3:C$102)),ROW()-12),ROW(Encomendas!C$3:C$102),0)),"")</f>
        <v/>
      </c>
      <c r="F32" s="20">
        <f>IFERROR(INDEX(Encomendas!F:F,MATCH(SMALL(IF(Encomendas!C$3:C$102="Em Aberto",ROW(Encomendas!C$3:C$102)),ROW()-12),ROW(Encomendas!C$3:C$102),0)),"")</f>
        <v/>
      </c>
      <c r="G32" s="20">
        <f>IFERROR(INDEX(Encomendas!J:J,MATCH(SMALL(IF(Encomendas!C$3:C$102="Em Aberto",ROW(Encomendas!C$3:C$102)),ROW()-12),ROW(Encomendas!C$3:C$102),0)),"")</f>
        <v/>
      </c>
    </row>
    <row r="33" ht="20" customHeight="1"/>
    <row r="34" ht="14" customHeight="1">
      <c r="B34" s="21" t="inlineStr">
        <is>
          <t>Actualizado automaticamente a partir das abas Encomendas e Fornecedores  |  Não editar este painel directamente</t>
        </is>
      </c>
      <c r="C34" s="37" t="n"/>
      <c r="D34" s="37" t="n"/>
      <c r="E34" s="37" t="n"/>
      <c r="F34" s="37" t="n"/>
      <c r="G34" s="38" t="n"/>
    </row>
    <row r="35" ht="20" customHeight="1"/>
    <row r="36" ht="20" customHeight="1"/>
    <row r="37" ht="20" customHeight="1"/>
    <row r="38" ht="20" customHeight="1"/>
    <row r="39" ht="20" customHeight="1"/>
    <row r="40" ht="20" customHeight="1"/>
    <row r="41" ht="20" customHeight="1"/>
    <row r="42" ht="20" customHeight="1"/>
    <row r="43" ht="20" customHeight="1"/>
    <row r="44" ht="20" customHeight="1"/>
    <row r="45" ht="20" customHeight="1"/>
    <row r="46" ht="20" customHeight="1"/>
    <row r="47" ht="20" customHeight="1"/>
    <row r="48" ht="20" customHeight="1"/>
    <row r="49" ht="20" customHeight="1"/>
    <row r="50" ht="20" customHeight="1"/>
    <row r="51" ht="20" customHeight="1"/>
    <row r="52" ht="20" customHeight="1"/>
    <row r="53" ht="20" customHeight="1"/>
    <row r="54" ht="20" customHeight="1"/>
    <row r="55" ht="20" customHeight="1"/>
    <row r="56" ht="20" customHeight="1"/>
    <row r="57" ht="20" customHeight="1"/>
    <row r="58" ht="20" customHeight="1"/>
    <row r="59" ht="20" customHeight="1"/>
  </sheetData>
  <mergeCells count="15">
    <mergeCell ref="B3:G3"/>
    <mergeCell ref="B2:G2"/>
    <mergeCell ref="B8"/>
    <mergeCell ref="E8"/>
    <mergeCell ref="C8"/>
    <mergeCell ref="F7"/>
    <mergeCell ref="F8"/>
    <mergeCell ref="B34:G34"/>
    <mergeCell ref="C7"/>
    <mergeCell ref="B7"/>
    <mergeCell ref="D7"/>
    <mergeCell ref="D8"/>
    <mergeCell ref="E7"/>
    <mergeCell ref="B11:G11"/>
    <mergeCell ref="B6:G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0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16" customWidth="1" min="3" max="3"/>
    <col width="24" customWidth="1" min="4" max="4"/>
    <col width="28" customWidth="1" min="5" max="5"/>
    <col width="16" customWidth="1" min="6" max="6"/>
    <col width="16" customWidth="1" min="7" max="7"/>
    <col width="18" customWidth="1" min="8" max="8"/>
    <col width="18" customWidth="1" min="9" max="9"/>
    <col width="18" customWidth="1" min="10" max="10"/>
    <col width="16" customWidth="1" min="11" max="11"/>
    <col width="14" customWidth="1" min="12" max="12"/>
    <col width="20" customWidth="1" min="13" max="13"/>
  </cols>
  <sheetData>
    <row r="1" ht="32" customHeight="1">
      <c r="A1" s="22" t="inlineStr">
        <is>
          <t>EMPRESA MANUFATUREIRA — REGISTO DE ENCOMENDAS</t>
        </is>
      </c>
    </row>
    <row r="2" ht="22" customHeight="1">
      <c r="A2" s="23" t="inlineStr">
        <is>
          <t>Nº</t>
        </is>
      </c>
      <c r="B2" s="23" t="inlineStr">
        <is>
          <t>ID Encomenda</t>
        </is>
      </c>
      <c r="C2" s="23" t="inlineStr">
        <is>
          <t>Estado</t>
        </is>
      </c>
      <c r="D2" s="23" t="inlineStr">
        <is>
          <t>Cliente</t>
        </is>
      </c>
      <c r="E2" s="23" t="inlineStr">
        <is>
          <t>Produto / Descrição</t>
        </is>
      </c>
      <c r="F2" s="23" t="inlineStr">
        <is>
          <t>Receita Cliente (€)</t>
        </is>
      </c>
      <c r="G2" s="23" t="inlineStr">
        <is>
          <t>Prazo Entrega</t>
        </is>
      </c>
      <c r="H2" s="23" t="inlineStr">
        <is>
          <t>Total Custo Forn. (€)</t>
        </is>
      </c>
      <c r="I2" s="23" t="inlineStr">
        <is>
          <t>Pago Antecip. (€)</t>
        </is>
      </c>
      <c r="J2" s="23" t="inlineStr">
        <is>
          <t>Saldo Devedor (€)</t>
        </is>
      </c>
      <c r="K2" s="23" t="inlineStr">
        <is>
          <t>Margem Bruta (€)</t>
        </is>
      </c>
      <c r="L2" s="23" t="inlineStr">
        <is>
          <t>Margem (%)</t>
        </is>
      </c>
      <c r="M2" s="23" t="inlineStr">
        <is>
          <t>Observações</t>
        </is>
      </c>
    </row>
    <row r="3" ht="18" customHeight="1">
      <c r="A3" s="15" t="n">
        <v>1</v>
      </c>
      <c r="B3" s="15" t="inlineStr">
        <is>
          <t>ENC-2026-001</t>
        </is>
      </c>
      <c r="C3" s="15" t="inlineStr">
        <is>
          <t>Em Aberto</t>
        </is>
      </c>
      <c r="D3" s="15" t="inlineStr">
        <is>
          <t>Cliente A</t>
        </is>
      </c>
      <c r="E3" s="15" t="inlineStr">
        <is>
          <t>Sofá 3L ref. SL220 (x10)</t>
        </is>
      </c>
      <c r="F3" s="17" t="n">
        <v>12500</v>
      </c>
      <c r="G3" s="16" t="n">
        <v>46127</v>
      </c>
      <c r="H3" s="17" t="n">
        <v>8200</v>
      </c>
      <c r="I3" s="17" t="n">
        <v>3280</v>
      </c>
      <c r="J3" s="17">
        <f>H3-I3</f>
        <v/>
      </c>
      <c r="K3" s="17">
        <f>F3-H3</f>
        <v/>
      </c>
      <c r="L3" s="50">
        <f>IFERROR(K3/F3,0)</f>
        <v/>
      </c>
      <c r="M3" s="15" t="inlineStr"/>
    </row>
    <row r="4" ht="18" customHeight="1">
      <c r="A4" s="18" t="n">
        <v>2</v>
      </c>
      <c r="B4" s="18" t="inlineStr">
        <is>
          <t>ENC-2026-002</t>
        </is>
      </c>
      <c r="C4" s="18" t="inlineStr">
        <is>
          <t>Em Produção</t>
        </is>
      </c>
      <c r="D4" s="18" t="inlineStr">
        <is>
          <t>Cliente B</t>
        </is>
      </c>
      <c r="E4" s="18" t="inlineStr">
        <is>
          <t>Cadeiras ref. CA110 (x30)</t>
        </is>
      </c>
      <c r="F4" s="20" t="n">
        <v>9800</v>
      </c>
      <c r="G4" s="19" t="n">
        <v>46142</v>
      </c>
      <c r="H4" s="20" t="n">
        <v>6100</v>
      </c>
      <c r="I4" s="20" t="n">
        <v>2440</v>
      </c>
      <c r="J4" s="20">
        <f>H4-I4</f>
        <v/>
      </c>
      <c r="K4" s="20">
        <f>F4-H4</f>
        <v/>
      </c>
      <c r="L4" s="51">
        <f>IFERROR(K4/F4,0)</f>
        <v/>
      </c>
      <c r="M4" s="18" t="inlineStr"/>
    </row>
    <row r="5" ht="18" customHeight="1">
      <c r="A5" s="15" t="n">
        <v>3</v>
      </c>
      <c r="B5" s="15" t="inlineStr">
        <is>
          <t>ENC-2026-003</t>
        </is>
      </c>
      <c r="C5" s="15" t="inlineStr">
        <is>
          <t>Confirmada</t>
        </is>
      </c>
      <c r="D5" s="15" t="inlineStr">
        <is>
          <t>Cliente C</t>
        </is>
      </c>
      <c r="E5" s="15" t="inlineStr">
        <is>
          <t>Cabeceiras ref. CB05 (x20)</t>
        </is>
      </c>
      <c r="F5" s="17" t="n">
        <v>4200</v>
      </c>
      <c r="G5" s="16" t="n">
        <v>46152</v>
      </c>
      <c r="H5" s="17" t="n">
        <v>2800</v>
      </c>
      <c r="I5" s="17" t="n">
        <v>1120</v>
      </c>
      <c r="J5" s="17">
        <f>H5-I5</f>
        <v/>
      </c>
      <c r="K5" s="17">
        <f>F5-H5</f>
        <v/>
      </c>
      <c r="L5" s="50">
        <f>IFERROR(K5/F5,0)</f>
        <v/>
      </c>
      <c r="M5" s="15" t="inlineStr"/>
    </row>
    <row r="6" ht="18" customHeight="1">
      <c r="A6" s="18">
        <f>IFERROR(ROW()-2,"")</f>
        <v/>
      </c>
      <c r="B6" s="18" t="n"/>
      <c r="C6" s="18" t="n"/>
      <c r="D6" s="18" t="n"/>
      <c r="E6" s="18" t="n"/>
      <c r="F6" s="18" t="n"/>
      <c r="G6" s="18" t="n"/>
      <c r="H6" s="18" t="n"/>
      <c r="I6" s="18" t="n"/>
      <c r="J6" s="20">
        <f>IFERROR(H6-I6,"")</f>
        <v/>
      </c>
      <c r="K6" s="20">
        <f>IFERROR(F6-H6,"")</f>
        <v/>
      </c>
      <c r="L6" s="51">
        <f>IFERROR(K6/F6,"")</f>
        <v/>
      </c>
      <c r="M6" s="18" t="n"/>
    </row>
    <row r="7" ht="18" customHeight="1">
      <c r="A7" s="15">
        <f>IFERROR(ROW()-2,"")</f>
        <v/>
      </c>
      <c r="B7" s="15" t="n"/>
      <c r="C7" s="15" t="n"/>
      <c r="D7" s="15" t="n"/>
      <c r="E7" s="15" t="n"/>
      <c r="F7" s="15" t="n"/>
      <c r="G7" s="15" t="n"/>
      <c r="H7" s="15" t="n"/>
      <c r="I7" s="15" t="n"/>
      <c r="J7" s="17">
        <f>IFERROR(H7-I7,"")</f>
        <v/>
      </c>
      <c r="K7" s="17">
        <f>IFERROR(F7-H7,"")</f>
        <v/>
      </c>
      <c r="L7" s="50">
        <f>IFERROR(K7/F7,"")</f>
        <v/>
      </c>
      <c r="M7" s="15" t="n"/>
    </row>
    <row r="8" ht="18" customHeight="1">
      <c r="A8" s="18">
        <f>IFERROR(ROW()-2,"")</f>
        <v/>
      </c>
      <c r="B8" s="18" t="n"/>
      <c r="C8" s="18" t="n"/>
      <c r="D8" s="18" t="n"/>
      <c r="E8" s="18" t="n"/>
      <c r="F8" s="18" t="n"/>
      <c r="G8" s="18" t="n"/>
      <c r="H8" s="18" t="n"/>
      <c r="I8" s="18" t="n"/>
      <c r="J8" s="20">
        <f>IFERROR(H8-I8,"")</f>
        <v/>
      </c>
      <c r="K8" s="20">
        <f>IFERROR(F8-H8,"")</f>
        <v/>
      </c>
      <c r="L8" s="51">
        <f>IFERROR(K8/F8,"")</f>
        <v/>
      </c>
      <c r="M8" s="18" t="n"/>
    </row>
    <row r="9" ht="18" customHeight="1">
      <c r="A9" s="15">
        <f>IFERROR(ROW()-2,"")</f>
        <v/>
      </c>
      <c r="B9" s="15" t="n"/>
      <c r="C9" s="15" t="n"/>
      <c r="D9" s="15" t="n"/>
      <c r="E9" s="15" t="n"/>
      <c r="F9" s="15" t="n"/>
      <c r="G9" s="15" t="n"/>
      <c r="H9" s="15" t="n"/>
      <c r="I9" s="15" t="n"/>
      <c r="J9" s="17">
        <f>IFERROR(H9-I9,"")</f>
        <v/>
      </c>
      <c r="K9" s="17">
        <f>IFERROR(F9-H9,"")</f>
        <v/>
      </c>
      <c r="L9" s="50">
        <f>IFERROR(K9/F9,"")</f>
        <v/>
      </c>
      <c r="M9" s="15" t="n"/>
    </row>
    <row r="10" ht="18" customHeight="1">
      <c r="A10" s="18">
        <f>IFERROR(ROW()-2,"")</f>
        <v/>
      </c>
      <c r="B10" s="18" t="n"/>
      <c r="C10" s="18" t="n"/>
      <c r="D10" s="18" t="n"/>
      <c r="E10" s="18" t="n"/>
      <c r="F10" s="18" t="n"/>
      <c r="G10" s="18" t="n"/>
      <c r="H10" s="18" t="n"/>
      <c r="I10" s="18" t="n"/>
      <c r="J10" s="20">
        <f>IFERROR(H10-I10,"")</f>
        <v/>
      </c>
      <c r="K10" s="20">
        <f>IFERROR(F10-H10,"")</f>
        <v/>
      </c>
      <c r="L10" s="51">
        <f>IFERROR(K10/F10,"")</f>
        <v/>
      </c>
      <c r="M10" s="18" t="n"/>
    </row>
    <row r="11" ht="18" customHeight="1">
      <c r="A11" s="15">
        <f>IFERROR(ROW()-2,"")</f>
        <v/>
      </c>
      <c r="B11" s="15" t="n"/>
      <c r="C11" s="15" t="n"/>
      <c r="D11" s="15" t="n"/>
      <c r="E11" s="15" t="n"/>
      <c r="F11" s="15" t="n"/>
      <c r="G11" s="15" t="n"/>
      <c r="H11" s="15" t="n"/>
      <c r="I11" s="15" t="n"/>
      <c r="J11" s="17">
        <f>IFERROR(H11-I11,"")</f>
        <v/>
      </c>
      <c r="K11" s="17">
        <f>IFERROR(F11-H11,"")</f>
        <v/>
      </c>
      <c r="L11" s="50">
        <f>IFERROR(K11/F11,"")</f>
        <v/>
      </c>
      <c r="M11" s="15" t="n"/>
    </row>
    <row r="12" ht="18" customHeight="1">
      <c r="A12" s="18">
        <f>IFERROR(ROW()-2,"")</f>
        <v/>
      </c>
      <c r="B12" s="18" t="n"/>
      <c r="C12" s="18" t="n"/>
      <c r="D12" s="18" t="n"/>
      <c r="E12" s="18" t="n"/>
      <c r="F12" s="18" t="n"/>
      <c r="G12" s="18" t="n"/>
      <c r="H12" s="18" t="n"/>
      <c r="I12" s="18" t="n"/>
      <c r="J12" s="20">
        <f>IFERROR(H12-I12,"")</f>
        <v/>
      </c>
      <c r="K12" s="20">
        <f>IFERROR(F12-H12,"")</f>
        <v/>
      </c>
      <c r="L12" s="51">
        <f>IFERROR(K12/F12,"")</f>
        <v/>
      </c>
      <c r="M12" s="18" t="n"/>
    </row>
    <row r="13" ht="18" customHeight="1">
      <c r="A13" s="15">
        <f>IFERROR(ROW()-2,"")</f>
        <v/>
      </c>
      <c r="B13" s="15" t="n"/>
      <c r="C13" s="15" t="n"/>
      <c r="D13" s="15" t="n"/>
      <c r="E13" s="15" t="n"/>
      <c r="F13" s="15" t="n"/>
      <c r="G13" s="15" t="n"/>
      <c r="H13" s="15" t="n"/>
      <c r="I13" s="15" t="n"/>
      <c r="J13" s="17">
        <f>IFERROR(H13-I13,"")</f>
        <v/>
      </c>
      <c r="K13" s="17">
        <f>IFERROR(F13-H13,"")</f>
        <v/>
      </c>
      <c r="L13" s="50">
        <f>IFERROR(K13/F13,"")</f>
        <v/>
      </c>
      <c r="M13" s="15" t="n"/>
    </row>
    <row r="14" ht="18" customHeight="1">
      <c r="A14" s="18">
        <f>IFERROR(ROW()-2,"")</f>
        <v/>
      </c>
      <c r="B14" s="18" t="n"/>
      <c r="C14" s="18" t="n"/>
      <c r="D14" s="18" t="n"/>
      <c r="E14" s="18" t="n"/>
      <c r="F14" s="18" t="n"/>
      <c r="G14" s="18" t="n"/>
      <c r="H14" s="18" t="n"/>
      <c r="I14" s="18" t="n"/>
      <c r="J14" s="20">
        <f>IFERROR(H14-I14,"")</f>
        <v/>
      </c>
      <c r="K14" s="20">
        <f>IFERROR(F14-H14,"")</f>
        <v/>
      </c>
      <c r="L14" s="51">
        <f>IFERROR(K14/F14,"")</f>
        <v/>
      </c>
      <c r="M14" s="18" t="n"/>
    </row>
    <row r="15" ht="18" customHeight="1">
      <c r="A15" s="15">
        <f>IFERROR(ROW()-2,"")</f>
        <v/>
      </c>
      <c r="B15" s="15" t="n"/>
      <c r="C15" s="15" t="n"/>
      <c r="D15" s="15" t="n"/>
      <c r="E15" s="15" t="n"/>
      <c r="F15" s="15" t="n"/>
      <c r="G15" s="15" t="n"/>
      <c r="H15" s="15" t="n"/>
      <c r="I15" s="15" t="n"/>
      <c r="J15" s="17">
        <f>IFERROR(H15-I15,"")</f>
        <v/>
      </c>
      <c r="K15" s="17">
        <f>IFERROR(F15-H15,"")</f>
        <v/>
      </c>
      <c r="L15" s="50">
        <f>IFERROR(K15/F15,"")</f>
        <v/>
      </c>
      <c r="M15" s="15" t="n"/>
    </row>
    <row r="16" ht="18" customHeight="1">
      <c r="A16" s="18">
        <f>IFERROR(ROW()-2,"")</f>
        <v/>
      </c>
      <c r="B16" s="18" t="n"/>
      <c r="C16" s="18" t="n"/>
      <c r="D16" s="18" t="n"/>
      <c r="E16" s="18" t="n"/>
      <c r="F16" s="18" t="n"/>
      <c r="G16" s="18" t="n"/>
      <c r="H16" s="18" t="n"/>
      <c r="I16" s="18" t="n"/>
      <c r="J16" s="20">
        <f>IFERROR(H16-I16,"")</f>
        <v/>
      </c>
      <c r="K16" s="20">
        <f>IFERROR(F16-H16,"")</f>
        <v/>
      </c>
      <c r="L16" s="51">
        <f>IFERROR(K16/F16,"")</f>
        <v/>
      </c>
      <c r="M16" s="18" t="n"/>
    </row>
    <row r="17" ht="18" customHeight="1">
      <c r="A17" s="15">
        <f>IFERROR(ROW()-2,"")</f>
        <v/>
      </c>
      <c r="B17" s="15" t="n"/>
      <c r="C17" s="15" t="n"/>
      <c r="D17" s="15" t="n"/>
      <c r="E17" s="15" t="n"/>
      <c r="F17" s="15" t="n"/>
      <c r="G17" s="15" t="n"/>
      <c r="H17" s="15" t="n"/>
      <c r="I17" s="15" t="n"/>
      <c r="J17" s="17">
        <f>IFERROR(H17-I17,"")</f>
        <v/>
      </c>
      <c r="K17" s="17">
        <f>IFERROR(F17-H17,"")</f>
        <v/>
      </c>
      <c r="L17" s="50">
        <f>IFERROR(K17/F17,"")</f>
        <v/>
      </c>
      <c r="M17" s="15" t="n"/>
    </row>
    <row r="18" ht="18" customHeight="1">
      <c r="A18" s="18">
        <f>IFERROR(ROW()-2,"")</f>
        <v/>
      </c>
      <c r="B18" s="18" t="n"/>
      <c r="C18" s="18" t="n"/>
      <c r="D18" s="18" t="n"/>
      <c r="E18" s="18" t="n"/>
      <c r="F18" s="18" t="n"/>
      <c r="G18" s="18" t="n"/>
      <c r="H18" s="18" t="n"/>
      <c r="I18" s="18" t="n"/>
      <c r="J18" s="20">
        <f>IFERROR(H18-I18,"")</f>
        <v/>
      </c>
      <c r="K18" s="20">
        <f>IFERROR(F18-H18,"")</f>
        <v/>
      </c>
      <c r="L18" s="51">
        <f>IFERROR(K18/F18,"")</f>
        <v/>
      </c>
      <c r="M18" s="18" t="n"/>
    </row>
    <row r="19" ht="18" customHeight="1">
      <c r="A19" s="15">
        <f>IFERROR(ROW()-2,"")</f>
        <v/>
      </c>
      <c r="B19" s="15" t="n"/>
      <c r="C19" s="15" t="n"/>
      <c r="D19" s="15" t="n"/>
      <c r="E19" s="15" t="n"/>
      <c r="F19" s="15" t="n"/>
      <c r="G19" s="15" t="n"/>
      <c r="H19" s="15" t="n"/>
      <c r="I19" s="15" t="n"/>
      <c r="J19" s="17">
        <f>IFERROR(H19-I19,"")</f>
        <v/>
      </c>
      <c r="K19" s="17">
        <f>IFERROR(F19-H19,"")</f>
        <v/>
      </c>
      <c r="L19" s="50">
        <f>IFERROR(K19/F19,"")</f>
        <v/>
      </c>
      <c r="M19" s="15" t="n"/>
    </row>
    <row r="20" ht="18" customHeight="1">
      <c r="A20" s="18">
        <f>IFERROR(ROW()-2,"")</f>
        <v/>
      </c>
      <c r="B20" s="18" t="n"/>
      <c r="C20" s="18" t="n"/>
      <c r="D20" s="18" t="n"/>
      <c r="E20" s="18" t="n"/>
      <c r="F20" s="18" t="n"/>
      <c r="G20" s="18" t="n"/>
      <c r="H20" s="18" t="n"/>
      <c r="I20" s="18" t="n"/>
      <c r="J20" s="20">
        <f>IFERROR(H20-I20,"")</f>
        <v/>
      </c>
      <c r="K20" s="20">
        <f>IFERROR(F20-H20,"")</f>
        <v/>
      </c>
      <c r="L20" s="51">
        <f>IFERROR(K20/F20,"")</f>
        <v/>
      </c>
      <c r="M20" s="18" t="n"/>
    </row>
    <row r="21" ht="18" customHeight="1">
      <c r="A21" s="15">
        <f>IFERROR(ROW()-2,"")</f>
        <v/>
      </c>
      <c r="B21" s="15" t="n"/>
      <c r="C21" s="15" t="n"/>
      <c r="D21" s="15" t="n"/>
      <c r="E21" s="15" t="n"/>
      <c r="F21" s="15" t="n"/>
      <c r="G21" s="15" t="n"/>
      <c r="H21" s="15" t="n"/>
      <c r="I21" s="15" t="n"/>
      <c r="J21" s="17">
        <f>IFERROR(H21-I21,"")</f>
        <v/>
      </c>
      <c r="K21" s="17">
        <f>IFERROR(F21-H21,"")</f>
        <v/>
      </c>
      <c r="L21" s="50">
        <f>IFERROR(K21/F21,"")</f>
        <v/>
      </c>
      <c r="M21" s="15" t="n"/>
    </row>
    <row r="22" ht="18" customHeight="1">
      <c r="A22" s="18">
        <f>IFERROR(ROW()-2,"")</f>
        <v/>
      </c>
      <c r="B22" s="18" t="n"/>
      <c r="C22" s="18" t="n"/>
      <c r="D22" s="18" t="n"/>
      <c r="E22" s="18" t="n"/>
      <c r="F22" s="18" t="n"/>
      <c r="G22" s="18" t="n"/>
      <c r="H22" s="18" t="n"/>
      <c r="I22" s="18" t="n"/>
      <c r="J22" s="20">
        <f>IFERROR(H22-I22,"")</f>
        <v/>
      </c>
      <c r="K22" s="20">
        <f>IFERROR(F22-H22,"")</f>
        <v/>
      </c>
      <c r="L22" s="51">
        <f>IFERROR(K22/F22,"")</f>
        <v/>
      </c>
      <c r="M22" s="18" t="n"/>
    </row>
    <row r="23" ht="18" customHeight="1">
      <c r="A23" s="15">
        <f>IFERROR(ROW()-2,"")</f>
        <v/>
      </c>
      <c r="B23" s="15" t="n"/>
      <c r="C23" s="15" t="n"/>
      <c r="D23" s="15" t="n"/>
      <c r="E23" s="15" t="n"/>
      <c r="F23" s="15" t="n"/>
      <c r="G23" s="15" t="n"/>
      <c r="H23" s="15" t="n"/>
      <c r="I23" s="15" t="n"/>
      <c r="J23" s="17">
        <f>IFERROR(H23-I23,"")</f>
        <v/>
      </c>
      <c r="K23" s="17">
        <f>IFERROR(F23-H23,"")</f>
        <v/>
      </c>
      <c r="L23" s="50">
        <f>IFERROR(K23/F23,"")</f>
        <v/>
      </c>
      <c r="M23" s="15" t="n"/>
    </row>
    <row r="24" ht="18" customHeight="1">
      <c r="A24" s="18">
        <f>IFERROR(ROW()-2,"")</f>
        <v/>
      </c>
      <c r="B24" s="18" t="n"/>
      <c r="C24" s="18" t="n"/>
      <c r="D24" s="18" t="n"/>
      <c r="E24" s="18" t="n"/>
      <c r="F24" s="18" t="n"/>
      <c r="G24" s="18" t="n"/>
      <c r="H24" s="18" t="n"/>
      <c r="I24" s="18" t="n"/>
      <c r="J24" s="20">
        <f>IFERROR(H24-I24,"")</f>
        <v/>
      </c>
      <c r="K24" s="20">
        <f>IFERROR(F24-H24,"")</f>
        <v/>
      </c>
      <c r="L24" s="51">
        <f>IFERROR(K24/F24,"")</f>
        <v/>
      </c>
      <c r="M24" s="18" t="n"/>
    </row>
    <row r="25" ht="18" customHeight="1">
      <c r="A25" s="15">
        <f>IFERROR(ROW()-2,"")</f>
        <v/>
      </c>
      <c r="B25" s="15" t="n"/>
      <c r="C25" s="15" t="n"/>
      <c r="D25" s="15" t="n"/>
      <c r="E25" s="15" t="n"/>
      <c r="F25" s="15" t="n"/>
      <c r="G25" s="15" t="n"/>
      <c r="H25" s="15" t="n"/>
      <c r="I25" s="15" t="n"/>
      <c r="J25" s="17">
        <f>IFERROR(H25-I25,"")</f>
        <v/>
      </c>
      <c r="K25" s="17">
        <f>IFERROR(F25-H25,"")</f>
        <v/>
      </c>
      <c r="L25" s="50">
        <f>IFERROR(K25/F25,"")</f>
        <v/>
      </c>
      <c r="M25" s="15" t="n"/>
    </row>
    <row r="26" ht="18" customHeight="1">
      <c r="A26" s="18">
        <f>IFERROR(ROW()-2,"")</f>
        <v/>
      </c>
      <c r="B26" s="18" t="n"/>
      <c r="C26" s="18" t="n"/>
      <c r="D26" s="18" t="n"/>
      <c r="E26" s="18" t="n"/>
      <c r="F26" s="18" t="n"/>
      <c r="G26" s="18" t="n"/>
      <c r="H26" s="18" t="n"/>
      <c r="I26" s="18" t="n"/>
      <c r="J26" s="20">
        <f>IFERROR(H26-I26,"")</f>
        <v/>
      </c>
      <c r="K26" s="20">
        <f>IFERROR(F26-H26,"")</f>
        <v/>
      </c>
      <c r="L26" s="51">
        <f>IFERROR(K26/F26,"")</f>
        <v/>
      </c>
      <c r="M26" s="18" t="n"/>
    </row>
    <row r="27" ht="18" customHeight="1">
      <c r="A27" s="15">
        <f>IFERROR(ROW()-2,"")</f>
        <v/>
      </c>
      <c r="B27" s="15" t="n"/>
      <c r="C27" s="15" t="n"/>
      <c r="D27" s="15" t="n"/>
      <c r="E27" s="15" t="n"/>
      <c r="F27" s="15" t="n"/>
      <c r="G27" s="15" t="n"/>
      <c r="H27" s="15" t="n"/>
      <c r="I27" s="15" t="n"/>
      <c r="J27" s="17">
        <f>IFERROR(H27-I27,"")</f>
        <v/>
      </c>
      <c r="K27" s="17">
        <f>IFERROR(F27-H27,"")</f>
        <v/>
      </c>
      <c r="L27" s="50">
        <f>IFERROR(K27/F27,"")</f>
        <v/>
      </c>
      <c r="M27" s="15" t="n"/>
    </row>
    <row r="28" ht="18" customHeight="1">
      <c r="A28" s="18">
        <f>IFERROR(ROW()-2,"")</f>
        <v/>
      </c>
      <c r="B28" s="18" t="n"/>
      <c r="C28" s="18" t="n"/>
      <c r="D28" s="18" t="n"/>
      <c r="E28" s="18" t="n"/>
      <c r="F28" s="18" t="n"/>
      <c r="G28" s="18" t="n"/>
      <c r="H28" s="18" t="n"/>
      <c r="I28" s="18" t="n"/>
      <c r="J28" s="20">
        <f>IFERROR(H28-I28,"")</f>
        <v/>
      </c>
      <c r="K28" s="20">
        <f>IFERROR(F28-H28,"")</f>
        <v/>
      </c>
      <c r="L28" s="51">
        <f>IFERROR(K28/F28,"")</f>
        <v/>
      </c>
      <c r="M28" s="18" t="n"/>
    </row>
    <row r="29" ht="18" customHeight="1">
      <c r="A29" s="15">
        <f>IFERROR(ROW()-2,"")</f>
        <v/>
      </c>
      <c r="B29" s="15" t="n"/>
      <c r="C29" s="15" t="n"/>
      <c r="D29" s="15" t="n"/>
      <c r="E29" s="15" t="n"/>
      <c r="F29" s="15" t="n"/>
      <c r="G29" s="15" t="n"/>
      <c r="H29" s="15" t="n"/>
      <c r="I29" s="15" t="n"/>
      <c r="J29" s="17">
        <f>IFERROR(H29-I29,"")</f>
        <v/>
      </c>
      <c r="K29" s="17">
        <f>IFERROR(F29-H29,"")</f>
        <v/>
      </c>
      <c r="L29" s="50">
        <f>IFERROR(K29/F29,"")</f>
        <v/>
      </c>
      <c r="M29" s="15" t="n"/>
    </row>
    <row r="30" ht="18" customHeight="1">
      <c r="A30" s="18">
        <f>IFERROR(ROW()-2,"")</f>
        <v/>
      </c>
      <c r="B30" s="18" t="n"/>
      <c r="C30" s="18" t="n"/>
      <c r="D30" s="18" t="n"/>
      <c r="E30" s="18" t="n"/>
      <c r="F30" s="18" t="n"/>
      <c r="G30" s="18" t="n"/>
      <c r="H30" s="18" t="n"/>
      <c r="I30" s="18" t="n"/>
      <c r="J30" s="20">
        <f>IFERROR(H30-I30,"")</f>
        <v/>
      </c>
      <c r="K30" s="20">
        <f>IFERROR(F30-H30,"")</f>
        <v/>
      </c>
      <c r="L30" s="51">
        <f>IFERROR(K30/F30,"")</f>
        <v/>
      </c>
      <c r="M30" s="18" t="n"/>
    </row>
    <row r="31" ht="18" customHeight="1">
      <c r="A31" s="15">
        <f>IFERROR(ROW()-2,"")</f>
        <v/>
      </c>
      <c r="B31" s="15" t="n"/>
      <c r="C31" s="15" t="n"/>
      <c r="D31" s="15" t="n"/>
      <c r="E31" s="15" t="n"/>
      <c r="F31" s="15" t="n"/>
      <c r="G31" s="15" t="n"/>
      <c r="H31" s="15" t="n"/>
      <c r="I31" s="15" t="n"/>
      <c r="J31" s="17">
        <f>IFERROR(H31-I31,"")</f>
        <v/>
      </c>
      <c r="K31" s="17">
        <f>IFERROR(F31-H31,"")</f>
        <v/>
      </c>
      <c r="L31" s="50">
        <f>IFERROR(K31/F31,"")</f>
        <v/>
      </c>
      <c r="M31" s="15" t="n"/>
    </row>
    <row r="32" ht="18" customHeight="1">
      <c r="A32" s="18">
        <f>IFERROR(ROW()-2,"")</f>
        <v/>
      </c>
      <c r="B32" s="18" t="n"/>
      <c r="C32" s="18" t="n"/>
      <c r="D32" s="18" t="n"/>
      <c r="E32" s="18" t="n"/>
      <c r="F32" s="18" t="n"/>
      <c r="G32" s="18" t="n"/>
      <c r="H32" s="18" t="n"/>
      <c r="I32" s="18" t="n"/>
      <c r="J32" s="20">
        <f>IFERROR(H32-I32,"")</f>
        <v/>
      </c>
      <c r="K32" s="20">
        <f>IFERROR(F32-H32,"")</f>
        <v/>
      </c>
      <c r="L32" s="51">
        <f>IFERROR(K32/F32,"")</f>
        <v/>
      </c>
      <c r="M32" s="18" t="n"/>
    </row>
    <row r="33" ht="18" customHeight="1">
      <c r="A33" s="15">
        <f>IFERROR(ROW()-2,"")</f>
        <v/>
      </c>
      <c r="B33" s="15" t="n"/>
      <c r="C33" s="15" t="n"/>
      <c r="D33" s="15" t="n"/>
      <c r="E33" s="15" t="n"/>
      <c r="F33" s="15" t="n"/>
      <c r="G33" s="15" t="n"/>
      <c r="H33" s="15" t="n"/>
      <c r="I33" s="15" t="n"/>
      <c r="J33" s="17">
        <f>IFERROR(H33-I33,"")</f>
        <v/>
      </c>
      <c r="K33" s="17">
        <f>IFERROR(F33-H33,"")</f>
        <v/>
      </c>
      <c r="L33" s="50">
        <f>IFERROR(K33/F33,"")</f>
        <v/>
      </c>
      <c r="M33" s="15" t="n"/>
    </row>
    <row r="34" ht="18" customHeight="1">
      <c r="A34" s="18">
        <f>IFERROR(ROW()-2,"")</f>
        <v/>
      </c>
      <c r="B34" s="18" t="n"/>
      <c r="C34" s="18" t="n"/>
      <c r="D34" s="18" t="n"/>
      <c r="E34" s="18" t="n"/>
      <c r="F34" s="18" t="n"/>
      <c r="G34" s="18" t="n"/>
      <c r="H34" s="18" t="n"/>
      <c r="I34" s="18" t="n"/>
      <c r="J34" s="20">
        <f>IFERROR(H34-I34,"")</f>
        <v/>
      </c>
      <c r="K34" s="20">
        <f>IFERROR(F34-H34,"")</f>
        <v/>
      </c>
      <c r="L34" s="51">
        <f>IFERROR(K34/F34,"")</f>
        <v/>
      </c>
      <c r="M34" s="18" t="n"/>
    </row>
    <row r="35" ht="18" customHeight="1">
      <c r="A35" s="15">
        <f>IFERROR(ROW()-2,"")</f>
        <v/>
      </c>
      <c r="B35" s="15" t="n"/>
      <c r="C35" s="15" t="n"/>
      <c r="D35" s="15" t="n"/>
      <c r="E35" s="15" t="n"/>
      <c r="F35" s="15" t="n"/>
      <c r="G35" s="15" t="n"/>
      <c r="H35" s="15" t="n"/>
      <c r="I35" s="15" t="n"/>
      <c r="J35" s="17">
        <f>IFERROR(H35-I35,"")</f>
        <v/>
      </c>
      <c r="K35" s="17">
        <f>IFERROR(F35-H35,"")</f>
        <v/>
      </c>
      <c r="L35" s="50">
        <f>IFERROR(K35/F35,"")</f>
        <v/>
      </c>
      <c r="M35" s="15" t="n"/>
    </row>
    <row r="36" ht="18" customHeight="1">
      <c r="A36" s="18">
        <f>IFERROR(ROW()-2,"")</f>
        <v/>
      </c>
      <c r="B36" s="18" t="n"/>
      <c r="C36" s="18" t="n"/>
      <c r="D36" s="18" t="n"/>
      <c r="E36" s="18" t="n"/>
      <c r="F36" s="18" t="n"/>
      <c r="G36" s="18" t="n"/>
      <c r="H36" s="18" t="n"/>
      <c r="I36" s="18" t="n"/>
      <c r="J36" s="20">
        <f>IFERROR(H36-I36,"")</f>
        <v/>
      </c>
      <c r="K36" s="20">
        <f>IFERROR(F36-H36,"")</f>
        <v/>
      </c>
      <c r="L36" s="51">
        <f>IFERROR(K36/F36,"")</f>
        <v/>
      </c>
      <c r="M36" s="18" t="n"/>
    </row>
    <row r="37" ht="18" customHeight="1">
      <c r="A37" s="15">
        <f>IFERROR(ROW()-2,"")</f>
        <v/>
      </c>
      <c r="B37" s="15" t="n"/>
      <c r="C37" s="15" t="n"/>
      <c r="D37" s="15" t="n"/>
      <c r="E37" s="15" t="n"/>
      <c r="F37" s="15" t="n"/>
      <c r="G37" s="15" t="n"/>
      <c r="H37" s="15" t="n"/>
      <c r="I37" s="15" t="n"/>
      <c r="J37" s="17">
        <f>IFERROR(H37-I37,"")</f>
        <v/>
      </c>
      <c r="K37" s="17">
        <f>IFERROR(F37-H37,"")</f>
        <v/>
      </c>
      <c r="L37" s="50">
        <f>IFERROR(K37/F37,"")</f>
        <v/>
      </c>
      <c r="M37" s="15" t="n"/>
    </row>
    <row r="38" ht="18" customHeight="1">
      <c r="A38" s="18">
        <f>IFERROR(ROW()-2,"")</f>
        <v/>
      </c>
      <c r="B38" s="18" t="n"/>
      <c r="C38" s="18" t="n"/>
      <c r="D38" s="18" t="n"/>
      <c r="E38" s="18" t="n"/>
      <c r="F38" s="18" t="n"/>
      <c r="G38" s="18" t="n"/>
      <c r="H38" s="18" t="n"/>
      <c r="I38" s="18" t="n"/>
      <c r="J38" s="20">
        <f>IFERROR(H38-I38,"")</f>
        <v/>
      </c>
      <c r="K38" s="20">
        <f>IFERROR(F38-H38,"")</f>
        <v/>
      </c>
      <c r="L38" s="51">
        <f>IFERROR(K38/F38,"")</f>
        <v/>
      </c>
      <c r="M38" s="18" t="n"/>
    </row>
    <row r="39" ht="18" customHeight="1">
      <c r="A39" s="15">
        <f>IFERROR(ROW()-2,"")</f>
        <v/>
      </c>
      <c r="B39" s="15" t="n"/>
      <c r="C39" s="15" t="n"/>
      <c r="D39" s="15" t="n"/>
      <c r="E39" s="15" t="n"/>
      <c r="F39" s="15" t="n"/>
      <c r="G39" s="15" t="n"/>
      <c r="H39" s="15" t="n"/>
      <c r="I39" s="15" t="n"/>
      <c r="J39" s="17">
        <f>IFERROR(H39-I39,"")</f>
        <v/>
      </c>
      <c r="K39" s="17">
        <f>IFERROR(F39-H39,"")</f>
        <v/>
      </c>
      <c r="L39" s="50">
        <f>IFERROR(K39/F39,"")</f>
        <v/>
      </c>
      <c r="M39" s="15" t="n"/>
    </row>
    <row r="40" ht="18" customHeight="1">
      <c r="A40" s="18">
        <f>IFERROR(ROW()-2,"")</f>
        <v/>
      </c>
      <c r="B40" s="18" t="n"/>
      <c r="C40" s="18" t="n"/>
      <c r="D40" s="18" t="n"/>
      <c r="E40" s="18" t="n"/>
      <c r="F40" s="18" t="n"/>
      <c r="G40" s="18" t="n"/>
      <c r="H40" s="18" t="n"/>
      <c r="I40" s="18" t="n"/>
      <c r="J40" s="20">
        <f>IFERROR(H40-I40,"")</f>
        <v/>
      </c>
      <c r="K40" s="20">
        <f>IFERROR(F40-H40,"")</f>
        <v/>
      </c>
      <c r="L40" s="51">
        <f>IFERROR(K40/F40,"")</f>
        <v/>
      </c>
      <c r="M40" s="18" t="n"/>
    </row>
    <row r="41" ht="18" customHeight="1">
      <c r="A41" s="15">
        <f>IFERROR(ROW()-2,"")</f>
        <v/>
      </c>
      <c r="B41" s="15" t="n"/>
      <c r="C41" s="15" t="n"/>
      <c r="D41" s="15" t="n"/>
      <c r="E41" s="15" t="n"/>
      <c r="F41" s="15" t="n"/>
      <c r="G41" s="15" t="n"/>
      <c r="H41" s="15" t="n"/>
      <c r="I41" s="15" t="n"/>
      <c r="J41" s="17">
        <f>IFERROR(H41-I41,"")</f>
        <v/>
      </c>
      <c r="K41" s="17">
        <f>IFERROR(F41-H41,"")</f>
        <v/>
      </c>
      <c r="L41" s="50">
        <f>IFERROR(K41/F41,"")</f>
        <v/>
      </c>
      <c r="M41" s="15" t="n"/>
    </row>
    <row r="42" ht="18" customHeight="1">
      <c r="A42" s="18">
        <f>IFERROR(ROW()-2,"")</f>
        <v/>
      </c>
      <c r="B42" s="18" t="n"/>
      <c r="C42" s="18" t="n"/>
      <c r="D42" s="18" t="n"/>
      <c r="E42" s="18" t="n"/>
      <c r="F42" s="18" t="n"/>
      <c r="G42" s="18" t="n"/>
      <c r="H42" s="18" t="n"/>
      <c r="I42" s="18" t="n"/>
      <c r="J42" s="20">
        <f>IFERROR(H42-I42,"")</f>
        <v/>
      </c>
      <c r="K42" s="20">
        <f>IFERROR(F42-H42,"")</f>
        <v/>
      </c>
      <c r="L42" s="51">
        <f>IFERROR(K42/F42,"")</f>
        <v/>
      </c>
      <c r="M42" s="18" t="n"/>
    </row>
    <row r="43" ht="18" customHeight="1">
      <c r="A43" s="15">
        <f>IFERROR(ROW()-2,"")</f>
        <v/>
      </c>
      <c r="B43" s="15" t="n"/>
      <c r="C43" s="15" t="n"/>
      <c r="D43" s="15" t="n"/>
      <c r="E43" s="15" t="n"/>
      <c r="F43" s="15" t="n"/>
      <c r="G43" s="15" t="n"/>
      <c r="H43" s="15" t="n"/>
      <c r="I43" s="15" t="n"/>
      <c r="J43" s="17">
        <f>IFERROR(H43-I43,"")</f>
        <v/>
      </c>
      <c r="K43" s="17">
        <f>IFERROR(F43-H43,"")</f>
        <v/>
      </c>
      <c r="L43" s="50">
        <f>IFERROR(K43/F43,"")</f>
        <v/>
      </c>
      <c r="M43" s="15" t="n"/>
    </row>
    <row r="44" ht="18" customHeight="1">
      <c r="A44" s="18">
        <f>IFERROR(ROW()-2,"")</f>
        <v/>
      </c>
      <c r="B44" s="18" t="n"/>
      <c r="C44" s="18" t="n"/>
      <c r="D44" s="18" t="n"/>
      <c r="E44" s="18" t="n"/>
      <c r="F44" s="18" t="n"/>
      <c r="G44" s="18" t="n"/>
      <c r="H44" s="18" t="n"/>
      <c r="I44" s="18" t="n"/>
      <c r="J44" s="20">
        <f>IFERROR(H44-I44,"")</f>
        <v/>
      </c>
      <c r="K44" s="20">
        <f>IFERROR(F44-H44,"")</f>
        <v/>
      </c>
      <c r="L44" s="51">
        <f>IFERROR(K44/F44,"")</f>
        <v/>
      </c>
      <c r="M44" s="18" t="n"/>
    </row>
    <row r="45" ht="18" customHeight="1">
      <c r="A45" s="15">
        <f>IFERROR(ROW()-2,"")</f>
        <v/>
      </c>
      <c r="B45" s="15" t="n"/>
      <c r="C45" s="15" t="n"/>
      <c r="D45" s="15" t="n"/>
      <c r="E45" s="15" t="n"/>
      <c r="F45" s="15" t="n"/>
      <c r="G45" s="15" t="n"/>
      <c r="H45" s="15" t="n"/>
      <c r="I45" s="15" t="n"/>
      <c r="J45" s="17">
        <f>IFERROR(H45-I45,"")</f>
        <v/>
      </c>
      <c r="K45" s="17">
        <f>IFERROR(F45-H45,"")</f>
        <v/>
      </c>
      <c r="L45" s="50">
        <f>IFERROR(K45/F45,"")</f>
        <v/>
      </c>
      <c r="M45" s="15" t="n"/>
    </row>
    <row r="46" ht="18" customHeight="1">
      <c r="A46" s="18">
        <f>IFERROR(ROW()-2,"")</f>
        <v/>
      </c>
      <c r="B46" s="18" t="n"/>
      <c r="C46" s="18" t="n"/>
      <c r="D46" s="18" t="n"/>
      <c r="E46" s="18" t="n"/>
      <c r="F46" s="18" t="n"/>
      <c r="G46" s="18" t="n"/>
      <c r="H46" s="18" t="n"/>
      <c r="I46" s="18" t="n"/>
      <c r="J46" s="20">
        <f>IFERROR(H46-I46,"")</f>
        <v/>
      </c>
      <c r="K46" s="20">
        <f>IFERROR(F46-H46,"")</f>
        <v/>
      </c>
      <c r="L46" s="51">
        <f>IFERROR(K46/F46,"")</f>
        <v/>
      </c>
      <c r="M46" s="18" t="n"/>
    </row>
    <row r="47" ht="18" customHeight="1">
      <c r="A47" s="15">
        <f>IFERROR(ROW()-2,"")</f>
        <v/>
      </c>
      <c r="B47" s="15" t="n"/>
      <c r="C47" s="15" t="n"/>
      <c r="D47" s="15" t="n"/>
      <c r="E47" s="15" t="n"/>
      <c r="F47" s="15" t="n"/>
      <c r="G47" s="15" t="n"/>
      <c r="H47" s="15" t="n"/>
      <c r="I47" s="15" t="n"/>
      <c r="J47" s="17">
        <f>IFERROR(H47-I47,"")</f>
        <v/>
      </c>
      <c r="K47" s="17">
        <f>IFERROR(F47-H47,"")</f>
        <v/>
      </c>
      <c r="L47" s="50">
        <f>IFERROR(K47/F47,"")</f>
        <v/>
      </c>
      <c r="M47" s="15" t="n"/>
    </row>
    <row r="48" ht="18" customHeight="1">
      <c r="A48" s="18">
        <f>IFERROR(ROW()-2,"")</f>
        <v/>
      </c>
      <c r="B48" s="18" t="n"/>
      <c r="C48" s="18" t="n"/>
      <c r="D48" s="18" t="n"/>
      <c r="E48" s="18" t="n"/>
      <c r="F48" s="18" t="n"/>
      <c r="G48" s="18" t="n"/>
      <c r="H48" s="18" t="n"/>
      <c r="I48" s="18" t="n"/>
      <c r="J48" s="20">
        <f>IFERROR(H48-I48,"")</f>
        <v/>
      </c>
      <c r="K48" s="20">
        <f>IFERROR(F48-H48,"")</f>
        <v/>
      </c>
      <c r="L48" s="51">
        <f>IFERROR(K48/F48,"")</f>
        <v/>
      </c>
      <c r="M48" s="18" t="n"/>
    </row>
    <row r="49" ht="18" customHeight="1">
      <c r="A49" s="15">
        <f>IFERROR(ROW()-2,"")</f>
        <v/>
      </c>
      <c r="B49" s="15" t="n"/>
      <c r="C49" s="15" t="n"/>
      <c r="D49" s="15" t="n"/>
      <c r="E49" s="15" t="n"/>
      <c r="F49" s="15" t="n"/>
      <c r="G49" s="15" t="n"/>
      <c r="H49" s="15" t="n"/>
      <c r="I49" s="15" t="n"/>
      <c r="J49" s="17">
        <f>IFERROR(H49-I49,"")</f>
        <v/>
      </c>
      <c r="K49" s="17">
        <f>IFERROR(F49-H49,"")</f>
        <v/>
      </c>
      <c r="L49" s="50">
        <f>IFERROR(K49/F49,"")</f>
        <v/>
      </c>
      <c r="M49" s="15" t="n"/>
    </row>
    <row r="50" ht="18" customHeight="1">
      <c r="A50" s="18">
        <f>IFERROR(ROW()-2,"")</f>
        <v/>
      </c>
      <c r="B50" s="18" t="n"/>
      <c r="C50" s="18" t="n"/>
      <c r="D50" s="18" t="n"/>
      <c r="E50" s="18" t="n"/>
      <c r="F50" s="18" t="n"/>
      <c r="G50" s="18" t="n"/>
      <c r="H50" s="18" t="n"/>
      <c r="I50" s="18" t="n"/>
      <c r="J50" s="20">
        <f>IFERROR(H50-I50,"")</f>
        <v/>
      </c>
      <c r="K50" s="20">
        <f>IFERROR(F50-H50,"")</f>
        <v/>
      </c>
      <c r="L50" s="51">
        <f>IFERROR(K50/F50,"")</f>
        <v/>
      </c>
      <c r="M50" s="18" t="n"/>
    </row>
    <row r="51" ht="18" customHeight="1">
      <c r="A51" s="15">
        <f>IFERROR(ROW()-2,"")</f>
        <v/>
      </c>
      <c r="B51" s="15" t="n"/>
      <c r="C51" s="15" t="n"/>
      <c r="D51" s="15" t="n"/>
      <c r="E51" s="15" t="n"/>
      <c r="F51" s="15" t="n"/>
      <c r="G51" s="15" t="n"/>
      <c r="H51" s="15" t="n"/>
      <c r="I51" s="15" t="n"/>
      <c r="J51" s="17">
        <f>IFERROR(H51-I51,"")</f>
        <v/>
      </c>
      <c r="K51" s="17">
        <f>IFERROR(F51-H51,"")</f>
        <v/>
      </c>
      <c r="L51" s="50">
        <f>IFERROR(K51/F51,"")</f>
        <v/>
      </c>
      <c r="M51" s="15" t="n"/>
    </row>
    <row r="52" ht="18" customHeight="1">
      <c r="A52" s="18">
        <f>IFERROR(ROW()-2,"")</f>
        <v/>
      </c>
      <c r="B52" s="18" t="n"/>
      <c r="C52" s="18" t="n"/>
      <c r="D52" s="18" t="n"/>
      <c r="E52" s="18" t="n"/>
      <c r="F52" s="18" t="n"/>
      <c r="G52" s="18" t="n"/>
      <c r="H52" s="18" t="n"/>
      <c r="I52" s="18" t="n"/>
      <c r="J52" s="20">
        <f>IFERROR(H52-I52,"")</f>
        <v/>
      </c>
      <c r="K52" s="20">
        <f>IFERROR(F52-H52,"")</f>
        <v/>
      </c>
      <c r="L52" s="51">
        <f>IFERROR(K52/F52,"")</f>
        <v/>
      </c>
      <c r="M52" s="18" t="n"/>
    </row>
    <row r="53" ht="18" customHeight="1">
      <c r="A53" s="15">
        <f>IFERROR(ROW()-2,"")</f>
        <v/>
      </c>
      <c r="B53" s="15" t="n"/>
      <c r="C53" s="15" t="n"/>
      <c r="D53" s="15" t="n"/>
      <c r="E53" s="15" t="n"/>
      <c r="F53" s="15" t="n"/>
      <c r="G53" s="15" t="n"/>
      <c r="H53" s="15" t="n"/>
      <c r="I53" s="15" t="n"/>
      <c r="J53" s="17">
        <f>IFERROR(H53-I53,"")</f>
        <v/>
      </c>
      <c r="K53" s="17">
        <f>IFERROR(F53-H53,"")</f>
        <v/>
      </c>
      <c r="L53" s="50">
        <f>IFERROR(K53/F53,"")</f>
        <v/>
      </c>
      <c r="M53" s="15" t="n"/>
    </row>
    <row r="54" ht="18" customHeight="1">
      <c r="A54" s="18">
        <f>IFERROR(ROW()-2,"")</f>
        <v/>
      </c>
      <c r="B54" s="18" t="n"/>
      <c r="C54" s="18" t="n"/>
      <c r="D54" s="18" t="n"/>
      <c r="E54" s="18" t="n"/>
      <c r="F54" s="18" t="n"/>
      <c r="G54" s="18" t="n"/>
      <c r="H54" s="18" t="n"/>
      <c r="I54" s="18" t="n"/>
      <c r="J54" s="20">
        <f>IFERROR(H54-I54,"")</f>
        <v/>
      </c>
      <c r="K54" s="20">
        <f>IFERROR(F54-H54,"")</f>
        <v/>
      </c>
      <c r="L54" s="51">
        <f>IFERROR(K54/F54,"")</f>
        <v/>
      </c>
      <c r="M54" s="18" t="n"/>
    </row>
    <row r="55" ht="18" customHeight="1">
      <c r="A55" s="15">
        <f>IFERROR(ROW()-2,"")</f>
        <v/>
      </c>
      <c r="B55" s="15" t="n"/>
      <c r="C55" s="15" t="n"/>
      <c r="D55" s="15" t="n"/>
      <c r="E55" s="15" t="n"/>
      <c r="F55" s="15" t="n"/>
      <c r="G55" s="15" t="n"/>
      <c r="H55" s="15" t="n"/>
      <c r="I55" s="15" t="n"/>
      <c r="J55" s="17">
        <f>IFERROR(H55-I55,"")</f>
        <v/>
      </c>
      <c r="K55" s="17">
        <f>IFERROR(F55-H55,"")</f>
        <v/>
      </c>
      <c r="L55" s="50">
        <f>IFERROR(K55/F55,"")</f>
        <v/>
      </c>
      <c r="M55" s="15" t="n"/>
    </row>
    <row r="56" ht="18" customHeight="1">
      <c r="A56" s="18">
        <f>IFERROR(ROW()-2,"")</f>
        <v/>
      </c>
      <c r="B56" s="18" t="n"/>
      <c r="C56" s="18" t="n"/>
      <c r="D56" s="18" t="n"/>
      <c r="E56" s="18" t="n"/>
      <c r="F56" s="18" t="n"/>
      <c r="G56" s="18" t="n"/>
      <c r="H56" s="18" t="n"/>
      <c r="I56" s="18" t="n"/>
      <c r="J56" s="20">
        <f>IFERROR(H56-I56,"")</f>
        <v/>
      </c>
      <c r="K56" s="20">
        <f>IFERROR(F56-H56,"")</f>
        <v/>
      </c>
      <c r="L56" s="51">
        <f>IFERROR(K56/F56,"")</f>
        <v/>
      </c>
      <c r="M56" s="18" t="n"/>
    </row>
    <row r="57" ht="18" customHeight="1">
      <c r="A57" s="15">
        <f>IFERROR(ROW()-2,"")</f>
        <v/>
      </c>
      <c r="B57" s="15" t="n"/>
      <c r="C57" s="15" t="n"/>
      <c r="D57" s="15" t="n"/>
      <c r="E57" s="15" t="n"/>
      <c r="F57" s="15" t="n"/>
      <c r="G57" s="15" t="n"/>
      <c r="H57" s="15" t="n"/>
      <c r="I57" s="15" t="n"/>
      <c r="J57" s="17">
        <f>IFERROR(H57-I57,"")</f>
        <v/>
      </c>
      <c r="K57" s="17">
        <f>IFERROR(F57-H57,"")</f>
        <v/>
      </c>
      <c r="L57" s="50">
        <f>IFERROR(K57/F57,"")</f>
        <v/>
      </c>
      <c r="M57" s="15" t="n"/>
    </row>
    <row r="58" ht="18" customHeight="1">
      <c r="A58" s="18">
        <f>IFERROR(ROW()-2,"")</f>
        <v/>
      </c>
      <c r="B58" s="18" t="n"/>
      <c r="C58" s="18" t="n"/>
      <c r="D58" s="18" t="n"/>
      <c r="E58" s="18" t="n"/>
      <c r="F58" s="18" t="n"/>
      <c r="G58" s="18" t="n"/>
      <c r="H58" s="18" t="n"/>
      <c r="I58" s="18" t="n"/>
      <c r="J58" s="20">
        <f>IFERROR(H58-I58,"")</f>
        <v/>
      </c>
      <c r="K58" s="20">
        <f>IFERROR(F58-H58,"")</f>
        <v/>
      </c>
      <c r="L58" s="51">
        <f>IFERROR(K58/F58,"")</f>
        <v/>
      </c>
      <c r="M58" s="18" t="n"/>
    </row>
    <row r="59" ht="18" customHeight="1">
      <c r="A59" s="15">
        <f>IFERROR(ROW()-2,"")</f>
        <v/>
      </c>
      <c r="B59" s="15" t="n"/>
      <c r="C59" s="15" t="n"/>
      <c r="D59" s="15" t="n"/>
      <c r="E59" s="15" t="n"/>
      <c r="F59" s="15" t="n"/>
      <c r="G59" s="15" t="n"/>
      <c r="H59" s="15" t="n"/>
      <c r="I59" s="15" t="n"/>
      <c r="J59" s="17">
        <f>IFERROR(H59-I59,"")</f>
        <v/>
      </c>
      <c r="K59" s="17">
        <f>IFERROR(F59-H59,"")</f>
        <v/>
      </c>
      <c r="L59" s="50">
        <f>IFERROR(K59/F59,"")</f>
        <v/>
      </c>
      <c r="M59" s="15" t="n"/>
    </row>
    <row r="60" ht="18" customHeight="1">
      <c r="A60" s="18">
        <f>IFERROR(ROW()-2,"")</f>
        <v/>
      </c>
      <c r="B60" s="18" t="n"/>
      <c r="C60" s="18" t="n"/>
      <c r="D60" s="18" t="n"/>
      <c r="E60" s="18" t="n"/>
      <c r="F60" s="18" t="n"/>
      <c r="G60" s="18" t="n"/>
      <c r="H60" s="18" t="n"/>
      <c r="I60" s="18" t="n"/>
      <c r="J60" s="20">
        <f>IFERROR(H60-I60,"")</f>
        <v/>
      </c>
      <c r="K60" s="20">
        <f>IFERROR(F60-H60,"")</f>
        <v/>
      </c>
      <c r="L60" s="51">
        <f>IFERROR(K60/F60,"")</f>
        <v/>
      </c>
      <c r="M60" s="18" t="n"/>
    </row>
    <row r="61" ht="18" customHeight="1">
      <c r="A61" s="15">
        <f>IFERROR(ROW()-2,"")</f>
        <v/>
      </c>
      <c r="B61" s="15" t="n"/>
      <c r="C61" s="15" t="n"/>
      <c r="D61" s="15" t="n"/>
      <c r="E61" s="15" t="n"/>
      <c r="F61" s="15" t="n"/>
      <c r="G61" s="15" t="n"/>
      <c r="H61" s="15" t="n"/>
      <c r="I61" s="15" t="n"/>
      <c r="J61" s="17">
        <f>IFERROR(H61-I61,"")</f>
        <v/>
      </c>
      <c r="K61" s="17">
        <f>IFERROR(F61-H61,"")</f>
        <v/>
      </c>
      <c r="L61" s="50">
        <f>IFERROR(K61/F61,"")</f>
        <v/>
      </c>
      <c r="M61" s="15" t="n"/>
    </row>
    <row r="62" ht="18" customHeight="1">
      <c r="A62" s="18">
        <f>IFERROR(ROW()-2,"")</f>
        <v/>
      </c>
      <c r="B62" s="18" t="n"/>
      <c r="C62" s="18" t="n"/>
      <c r="D62" s="18" t="n"/>
      <c r="E62" s="18" t="n"/>
      <c r="F62" s="18" t="n"/>
      <c r="G62" s="18" t="n"/>
      <c r="H62" s="18" t="n"/>
      <c r="I62" s="18" t="n"/>
      <c r="J62" s="20">
        <f>IFERROR(H62-I62,"")</f>
        <v/>
      </c>
      <c r="K62" s="20">
        <f>IFERROR(F62-H62,"")</f>
        <v/>
      </c>
      <c r="L62" s="51">
        <f>IFERROR(K62/F62,"")</f>
        <v/>
      </c>
      <c r="M62" s="18" t="n"/>
    </row>
    <row r="63" ht="18" customHeight="1">
      <c r="A63" s="15">
        <f>IFERROR(ROW()-2,"")</f>
        <v/>
      </c>
      <c r="B63" s="15" t="n"/>
      <c r="C63" s="15" t="n"/>
      <c r="D63" s="15" t="n"/>
      <c r="E63" s="15" t="n"/>
      <c r="F63" s="15" t="n"/>
      <c r="G63" s="15" t="n"/>
      <c r="H63" s="15" t="n"/>
      <c r="I63" s="15" t="n"/>
      <c r="J63" s="17">
        <f>IFERROR(H63-I63,"")</f>
        <v/>
      </c>
      <c r="K63" s="17">
        <f>IFERROR(F63-H63,"")</f>
        <v/>
      </c>
      <c r="L63" s="50">
        <f>IFERROR(K63/F63,"")</f>
        <v/>
      </c>
      <c r="M63" s="15" t="n"/>
    </row>
    <row r="64" ht="18" customHeight="1">
      <c r="A64" s="18">
        <f>IFERROR(ROW()-2,"")</f>
        <v/>
      </c>
      <c r="B64" s="18" t="n"/>
      <c r="C64" s="18" t="n"/>
      <c r="D64" s="18" t="n"/>
      <c r="E64" s="18" t="n"/>
      <c r="F64" s="18" t="n"/>
      <c r="G64" s="18" t="n"/>
      <c r="H64" s="18" t="n"/>
      <c r="I64" s="18" t="n"/>
      <c r="J64" s="20">
        <f>IFERROR(H64-I64,"")</f>
        <v/>
      </c>
      <c r="K64" s="20">
        <f>IFERROR(F64-H64,"")</f>
        <v/>
      </c>
      <c r="L64" s="51">
        <f>IFERROR(K64/F64,"")</f>
        <v/>
      </c>
      <c r="M64" s="18" t="n"/>
    </row>
    <row r="65" ht="18" customHeight="1">
      <c r="A65" s="15">
        <f>IFERROR(ROW()-2,"")</f>
        <v/>
      </c>
      <c r="B65" s="15" t="n"/>
      <c r="C65" s="15" t="n"/>
      <c r="D65" s="15" t="n"/>
      <c r="E65" s="15" t="n"/>
      <c r="F65" s="15" t="n"/>
      <c r="G65" s="15" t="n"/>
      <c r="H65" s="15" t="n"/>
      <c r="I65" s="15" t="n"/>
      <c r="J65" s="17">
        <f>IFERROR(H65-I65,"")</f>
        <v/>
      </c>
      <c r="K65" s="17">
        <f>IFERROR(F65-H65,"")</f>
        <v/>
      </c>
      <c r="L65" s="50">
        <f>IFERROR(K65/F65,"")</f>
        <v/>
      </c>
      <c r="M65" s="15" t="n"/>
    </row>
    <row r="66" ht="18" customHeight="1">
      <c r="A66" s="18">
        <f>IFERROR(ROW()-2,"")</f>
        <v/>
      </c>
      <c r="B66" s="18" t="n"/>
      <c r="C66" s="18" t="n"/>
      <c r="D66" s="18" t="n"/>
      <c r="E66" s="18" t="n"/>
      <c r="F66" s="18" t="n"/>
      <c r="G66" s="18" t="n"/>
      <c r="H66" s="18" t="n"/>
      <c r="I66" s="18" t="n"/>
      <c r="J66" s="20">
        <f>IFERROR(H66-I66,"")</f>
        <v/>
      </c>
      <c r="K66" s="20">
        <f>IFERROR(F66-H66,"")</f>
        <v/>
      </c>
      <c r="L66" s="51">
        <f>IFERROR(K66/F66,"")</f>
        <v/>
      </c>
      <c r="M66" s="18" t="n"/>
    </row>
    <row r="67" ht="18" customHeight="1">
      <c r="A67" s="15">
        <f>IFERROR(ROW()-2,"")</f>
        <v/>
      </c>
      <c r="B67" s="15" t="n"/>
      <c r="C67" s="15" t="n"/>
      <c r="D67" s="15" t="n"/>
      <c r="E67" s="15" t="n"/>
      <c r="F67" s="15" t="n"/>
      <c r="G67" s="15" t="n"/>
      <c r="H67" s="15" t="n"/>
      <c r="I67" s="15" t="n"/>
      <c r="J67" s="17">
        <f>IFERROR(H67-I67,"")</f>
        <v/>
      </c>
      <c r="K67" s="17">
        <f>IFERROR(F67-H67,"")</f>
        <v/>
      </c>
      <c r="L67" s="50">
        <f>IFERROR(K67/F67,"")</f>
        <v/>
      </c>
      <c r="M67" s="15" t="n"/>
    </row>
    <row r="68" ht="18" customHeight="1">
      <c r="A68" s="18">
        <f>IFERROR(ROW()-2,"")</f>
        <v/>
      </c>
      <c r="B68" s="18" t="n"/>
      <c r="C68" s="18" t="n"/>
      <c r="D68" s="18" t="n"/>
      <c r="E68" s="18" t="n"/>
      <c r="F68" s="18" t="n"/>
      <c r="G68" s="18" t="n"/>
      <c r="H68" s="18" t="n"/>
      <c r="I68" s="18" t="n"/>
      <c r="J68" s="20">
        <f>IFERROR(H68-I68,"")</f>
        <v/>
      </c>
      <c r="K68" s="20">
        <f>IFERROR(F68-H68,"")</f>
        <v/>
      </c>
      <c r="L68" s="51">
        <f>IFERROR(K68/F68,"")</f>
        <v/>
      </c>
      <c r="M68" s="18" t="n"/>
    </row>
    <row r="69" ht="18" customHeight="1">
      <c r="A69" s="15">
        <f>IFERROR(ROW()-2,"")</f>
        <v/>
      </c>
      <c r="B69" s="15" t="n"/>
      <c r="C69" s="15" t="n"/>
      <c r="D69" s="15" t="n"/>
      <c r="E69" s="15" t="n"/>
      <c r="F69" s="15" t="n"/>
      <c r="G69" s="15" t="n"/>
      <c r="H69" s="15" t="n"/>
      <c r="I69" s="15" t="n"/>
      <c r="J69" s="17">
        <f>IFERROR(H69-I69,"")</f>
        <v/>
      </c>
      <c r="K69" s="17">
        <f>IFERROR(F69-H69,"")</f>
        <v/>
      </c>
      <c r="L69" s="50">
        <f>IFERROR(K69/F69,"")</f>
        <v/>
      </c>
      <c r="M69" s="15" t="n"/>
    </row>
    <row r="70" ht="18" customHeight="1">
      <c r="A70" s="18">
        <f>IFERROR(ROW()-2,"")</f>
        <v/>
      </c>
      <c r="B70" s="18" t="n"/>
      <c r="C70" s="18" t="n"/>
      <c r="D70" s="18" t="n"/>
      <c r="E70" s="18" t="n"/>
      <c r="F70" s="18" t="n"/>
      <c r="G70" s="18" t="n"/>
      <c r="H70" s="18" t="n"/>
      <c r="I70" s="18" t="n"/>
      <c r="J70" s="20">
        <f>IFERROR(H70-I70,"")</f>
        <v/>
      </c>
      <c r="K70" s="20">
        <f>IFERROR(F70-H70,"")</f>
        <v/>
      </c>
      <c r="L70" s="51">
        <f>IFERROR(K70/F70,"")</f>
        <v/>
      </c>
      <c r="M70" s="18" t="n"/>
    </row>
    <row r="71" ht="18" customHeight="1">
      <c r="A71" s="15">
        <f>IFERROR(ROW()-2,"")</f>
        <v/>
      </c>
      <c r="B71" s="15" t="n"/>
      <c r="C71" s="15" t="n"/>
      <c r="D71" s="15" t="n"/>
      <c r="E71" s="15" t="n"/>
      <c r="F71" s="15" t="n"/>
      <c r="G71" s="15" t="n"/>
      <c r="H71" s="15" t="n"/>
      <c r="I71" s="15" t="n"/>
      <c r="J71" s="17">
        <f>IFERROR(H71-I71,"")</f>
        <v/>
      </c>
      <c r="K71" s="17">
        <f>IFERROR(F71-H71,"")</f>
        <v/>
      </c>
      <c r="L71" s="50">
        <f>IFERROR(K71/F71,"")</f>
        <v/>
      </c>
      <c r="M71" s="15" t="n"/>
    </row>
    <row r="72" ht="18" customHeight="1">
      <c r="A72" s="18">
        <f>IFERROR(ROW()-2,"")</f>
        <v/>
      </c>
      <c r="B72" s="18" t="n"/>
      <c r="C72" s="18" t="n"/>
      <c r="D72" s="18" t="n"/>
      <c r="E72" s="18" t="n"/>
      <c r="F72" s="18" t="n"/>
      <c r="G72" s="18" t="n"/>
      <c r="H72" s="18" t="n"/>
      <c r="I72" s="18" t="n"/>
      <c r="J72" s="20">
        <f>IFERROR(H72-I72,"")</f>
        <v/>
      </c>
      <c r="K72" s="20">
        <f>IFERROR(F72-H72,"")</f>
        <v/>
      </c>
      <c r="L72" s="51">
        <f>IFERROR(K72/F72,"")</f>
        <v/>
      </c>
      <c r="M72" s="18" t="n"/>
    </row>
    <row r="73" ht="18" customHeight="1">
      <c r="A73" s="15">
        <f>IFERROR(ROW()-2,"")</f>
        <v/>
      </c>
      <c r="B73" s="15" t="n"/>
      <c r="C73" s="15" t="n"/>
      <c r="D73" s="15" t="n"/>
      <c r="E73" s="15" t="n"/>
      <c r="F73" s="15" t="n"/>
      <c r="G73" s="15" t="n"/>
      <c r="H73" s="15" t="n"/>
      <c r="I73" s="15" t="n"/>
      <c r="J73" s="17">
        <f>IFERROR(H73-I73,"")</f>
        <v/>
      </c>
      <c r="K73" s="17">
        <f>IFERROR(F73-H73,"")</f>
        <v/>
      </c>
      <c r="L73" s="50">
        <f>IFERROR(K73/F73,"")</f>
        <v/>
      </c>
      <c r="M73" s="15" t="n"/>
    </row>
    <row r="74" ht="18" customHeight="1">
      <c r="A74" s="18">
        <f>IFERROR(ROW()-2,"")</f>
        <v/>
      </c>
      <c r="B74" s="18" t="n"/>
      <c r="C74" s="18" t="n"/>
      <c r="D74" s="18" t="n"/>
      <c r="E74" s="18" t="n"/>
      <c r="F74" s="18" t="n"/>
      <c r="G74" s="18" t="n"/>
      <c r="H74" s="18" t="n"/>
      <c r="I74" s="18" t="n"/>
      <c r="J74" s="20">
        <f>IFERROR(H74-I74,"")</f>
        <v/>
      </c>
      <c r="K74" s="20">
        <f>IFERROR(F74-H74,"")</f>
        <v/>
      </c>
      <c r="L74" s="51">
        <f>IFERROR(K74/F74,"")</f>
        <v/>
      </c>
      <c r="M74" s="18" t="n"/>
    </row>
    <row r="75" ht="18" customHeight="1">
      <c r="A75" s="15">
        <f>IFERROR(ROW()-2,"")</f>
        <v/>
      </c>
      <c r="B75" s="15" t="n"/>
      <c r="C75" s="15" t="n"/>
      <c r="D75" s="15" t="n"/>
      <c r="E75" s="15" t="n"/>
      <c r="F75" s="15" t="n"/>
      <c r="G75" s="15" t="n"/>
      <c r="H75" s="15" t="n"/>
      <c r="I75" s="15" t="n"/>
      <c r="J75" s="17">
        <f>IFERROR(H75-I75,"")</f>
        <v/>
      </c>
      <c r="K75" s="17">
        <f>IFERROR(F75-H75,"")</f>
        <v/>
      </c>
      <c r="L75" s="50">
        <f>IFERROR(K75/F75,"")</f>
        <v/>
      </c>
      <c r="M75" s="15" t="n"/>
    </row>
    <row r="76" ht="18" customHeight="1">
      <c r="A76" s="18">
        <f>IFERROR(ROW()-2,"")</f>
        <v/>
      </c>
      <c r="B76" s="18" t="n"/>
      <c r="C76" s="18" t="n"/>
      <c r="D76" s="18" t="n"/>
      <c r="E76" s="18" t="n"/>
      <c r="F76" s="18" t="n"/>
      <c r="G76" s="18" t="n"/>
      <c r="H76" s="18" t="n"/>
      <c r="I76" s="18" t="n"/>
      <c r="J76" s="20">
        <f>IFERROR(H76-I76,"")</f>
        <v/>
      </c>
      <c r="K76" s="20">
        <f>IFERROR(F76-H76,"")</f>
        <v/>
      </c>
      <c r="L76" s="51">
        <f>IFERROR(K76/F76,"")</f>
        <v/>
      </c>
      <c r="M76" s="18" t="n"/>
    </row>
    <row r="77" ht="18" customHeight="1">
      <c r="A77" s="15">
        <f>IFERROR(ROW()-2,"")</f>
        <v/>
      </c>
      <c r="B77" s="15" t="n"/>
      <c r="C77" s="15" t="n"/>
      <c r="D77" s="15" t="n"/>
      <c r="E77" s="15" t="n"/>
      <c r="F77" s="15" t="n"/>
      <c r="G77" s="15" t="n"/>
      <c r="H77" s="15" t="n"/>
      <c r="I77" s="15" t="n"/>
      <c r="J77" s="17">
        <f>IFERROR(H77-I77,"")</f>
        <v/>
      </c>
      <c r="K77" s="17">
        <f>IFERROR(F77-H77,"")</f>
        <v/>
      </c>
      <c r="L77" s="50">
        <f>IFERROR(K77/F77,"")</f>
        <v/>
      </c>
      <c r="M77" s="15" t="n"/>
    </row>
    <row r="78" ht="18" customHeight="1">
      <c r="A78" s="18">
        <f>IFERROR(ROW()-2,"")</f>
        <v/>
      </c>
      <c r="B78" s="18" t="n"/>
      <c r="C78" s="18" t="n"/>
      <c r="D78" s="18" t="n"/>
      <c r="E78" s="18" t="n"/>
      <c r="F78" s="18" t="n"/>
      <c r="G78" s="18" t="n"/>
      <c r="H78" s="18" t="n"/>
      <c r="I78" s="18" t="n"/>
      <c r="J78" s="20">
        <f>IFERROR(H78-I78,"")</f>
        <v/>
      </c>
      <c r="K78" s="20">
        <f>IFERROR(F78-H78,"")</f>
        <v/>
      </c>
      <c r="L78" s="51">
        <f>IFERROR(K78/F78,"")</f>
        <v/>
      </c>
      <c r="M78" s="18" t="n"/>
    </row>
    <row r="79" ht="18" customHeight="1">
      <c r="A79" s="15">
        <f>IFERROR(ROW()-2,"")</f>
        <v/>
      </c>
      <c r="B79" s="15" t="n"/>
      <c r="C79" s="15" t="n"/>
      <c r="D79" s="15" t="n"/>
      <c r="E79" s="15" t="n"/>
      <c r="F79" s="15" t="n"/>
      <c r="G79" s="15" t="n"/>
      <c r="H79" s="15" t="n"/>
      <c r="I79" s="15" t="n"/>
      <c r="J79" s="17">
        <f>IFERROR(H79-I79,"")</f>
        <v/>
      </c>
      <c r="K79" s="17">
        <f>IFERROR(F79-H79,"")</f>
        <v/>
      </c>
      <c r="L79" s="50">
        <f>IFERROR(K79/F79,"")</f>
        <v/>
      </c>
      <c r="M79" s="15" t="n"/>
    </row>
    <row r="80" ht="18" customHeight="1">
      <c r="A80" s="18">
        <f>IFERROR(ROW()-2,"")</f>
        <v/>
      </c>
      <c r="B80" s="18" t="n"/>
      <c r="C80" s="18" t="n"/>
      <c r="D80" s="18" t="n"/>
      <c r="E80" s="18" t="n"/>
      <c r="F80" s="18" t="n"/>
      <c r="G80" s="18" t="n"/>
      <c r="H80" s="18" t="n"/>
      <c r="I80" s="18" t="n"/>
      <c r="J80" s="20">
        <f>IFERROR(H80-I80,"")</f>
        <v/>
      </c>
      <c r="K80" s="20">
        <f>IFERROR(F80-H80,"")</f>
        <v/>
      </c>
      <c r="L80" s="51">
        <f>IFERROR(K80/F80,"")</f>
        <v/>
      </c>
      <c r="M80" s="18" t="n"/>
    </row>
    <row r="81" ht="18" customHeight="1">
      <c r="A81" s="15">
        <f>IFERROR(ROW()-2,"")</f>
        <v/>
      </c>
      <c r="B81" s="15" t="n"/>
      <c r="C81" s="15" t="n"/>
      <c r="D81" s="15" t="n"/>
      <c r="E81" s="15" t="n"/>
      <c r="F81" s="15" t="n"/>
      <c r="G81" s="15" t="n"/>
      <c r="H81" s="15" t="n"/>
      <c r="I81" s="15" t="n"/>
      <c r="J81" s="17">
        <f>IFERROR(H81-I81,"")</f>
        <v/>
      </c>
      <c r="K81" s="17">
        <f>IFERROR(F81-H81,"")</f>
        <v/>
      </c>
      <c r="L81" s="50">
        <f>IFERROR(K81/F81,"")</f>
        <v/>
      </c>
      <c r="M81" s="15" t="n"/>
    </row>
    <row r="82" ht="18" customHeight="1">
      <c r="A82" s="18">
        <f>IFERROR(ROW()-2,"")</f>
        <v/>
      </c>
      <c r="B82" s="18" t="n"/>
      <c r="C82" s="18" t="n"/>
      <c r="D82" s="18" t="n"/>
      <c r="E82" s="18" t="n"/>
      <c r="F82" s="18" t="n"/>
      <c r="G82" s="18" t="n"/>
      <c r="H82" s="18" t="n"/>
      <c r="I82" s="18" t="n"/>
      <c r="J82" s="20">
        <f>IFERROR(H82-I82,"")</f>
        <v/>
      </c>
      <c r="K82" s="20">
        <f>IFERROR(F82-H82,"")</f>
        <v/>
      </c>
      <c r="L82" s="51">
        <f>IFERROR(K82/F82,"")</f>
        <v/>
      </c>
      <c r="M82" s="18" t="n"/>
    </row>
    <row r="83" ht="18" customHeight="1">
      <c r="A83" s="15">
        <f>IFERROR(ROW()-2,"")</f>
        <v/>
      </c>
      <c r="B83" s="15" t="n"/>
      <c r="C83" s="15" t="n"/>
      <c r="D83" s="15" t="n"/>
      <c r="E83" s="15" t="n"/>
      <c r="F83" s="15" t="n"/>
      <c r="G83" s="15" t="n"/>
      <c r="H83" s="15" t="n"/>
      <c r="I83" s="15" t="n"/>
      <c r="J83" s="17">
        <f>IFERROR(H83-I83,"")</f>
        <v/>
      </c>
      <c r="K83" s="17">
        <f>IFERROR(F83-H83,"")</f>
        <v/>
      </c>
      <c r="L83" s="50">
        <f>IFERROR(K83/F83,"")</f>
        <v/>
      </c>
      <c r="M83" s="15" t="n"/>
    </row>
    <row r="84" ht="18" customHeight="1">
      <c r="A84" s="18">
        <f>IFERROR(ROW()-2,"")</f>
        <v/>
      </c>
      <c r="B84" s="18" t="n"/>
      <c r="C84" s="18" t="n"/>
      <c r="D84" s="18" t="n"/>
      <c r="E84" s="18" t="n"/>
      <c r="F84" s="18" t="n"/>
      <c r="G84" s="18" t="n"/>
      <c r="H84" s="18" t="n"/>
      <c r="I84" s="18" t="n"/>
      <c r="J84" s="20">
        <f>IFERROR(H84-I84,"")</f>
        <v/>
      </c>
      <c r="K84" s="20">
        <f>IFERROR(F84-H84,"")</f>
        <v/>
      </c>
      <c r="L84" s="51">
        <f>IFERROR(K84/F84,"")</f>
        <v/>
      </c>
      <c r="M84" s="18" t="n"/>
    </row>
    <row r="85" ht="18" customHeight="1">
      <c r="A85" s="15">
        <f>IFERROR(ROW()-2,"")</f>
        <v/>
      </c>
      <c r="B85" s="15" t="n"/>
      <c r="C85" s="15" t="n"/>
      <c r="D85" s="15" t="n"/>
      <c r="E85" s="15" t="n"/>
      <c r="F85" s="15" t="n"/>
      <c r="G85" s="15" t="n"/>
      <c r="H85" s="15" t="n"/>
      <c r="I85" s="15" t="n"/>
      <c r="J85" s="17">
        <f>IFERROR(H85-I85,"")</f>
        <v/>
      </c>
      <c r="K85" s="17">
        <f>IFERROR(F85-H85,"")</f>
        <v/>
      </c>
      <c r="L85" s="50">
        <f>IFERROR(K85/F85,"")</f>
        <v/>
      </c>
      <c r="M85" s="15" t="n"/>
    </row>
    <row r="86" ht="18" customHeight="1">
      <c r="A86" s="18">
        <f>IFERROR(ROW()-2,"")</f>
        <v/>
      </c>
      <c r="B86" s="18" t="n"/>
      <c r="C86" s="18" t="n"/>
      <c r="D86" s="18" t="n"/>
      <c r="E86" s="18" t="n"/>
      <c r="F86" s="18" t="n"/>
      <c r="G86" s="18" t="n"/>
      <c r="H86" s="18" t="n"/>
      <c r="I86" s="18" t="n"/>
      <c r="J86" s="20">
        <f>IFERROR(H86-I86,"")</f>
        <v/>
      </c>
      <c r="K86" s="20">
        <f>IFERROR(F86-H86,"")</f>
        <v/>
      </c>
      <c r="L86" s="51">
        <f>IFERROR(K86/F86,"")</f>
        <v/>
      </c>
      <c r="M86" s="18" t="n"/>
    </row>
    <row r="87" ht="18" customHeight="1">
      <c r="A87" s="15">
        <f>IFERROR(ROW()-2,"")</f>
        <v/>
      </c>
      <c r="B87" s="15" t="n"/>
      <c r="C87" s="15" t="n"/>
      <c r="D87" s="15" t="n"/>
      <c r="E87" s="15" t="n"/>
      <c r="F87" s="15" t="n"/>
      <c r="G87" s="15" t="n"/>
      <c r="H87" s="15" t="n"/>
      <c r="I87" s="15" t="n"/>
      <c r="J87" s="17">
        <f>IFERROR(H87-I87,"")</f>
        <v/>
      </c>
      <c r="K87" s="17">
        <f>IFERROR(F87-H87,"")</f>
        <v/>
      </c>
      <c r="L87" s="50">
        <f>IFERROR(K87/F87,"")</f>
        <v/>
      </c>
      <c r="M87" s="15" t="n"/>
    </row>
    <row r="88" ht="18" customHeight="1">
      <c r="A88" s="18">
        <f>IFERROR(ROW()-2,"")</f>
        <v/>
      </c>
      <c r="B88" s="18" t="n"/>
      <c r="C88" s="18" t="n"/>
      <c r="D88" s="18" t="n"/>
      <c r="E88" s="18" t="n"/>
      <c r="F88" s="18" t="n"/>
      <c r="G88" s="18" t="n"/>
      <c r="H88" s="18" t="n"/>
      <c r="I88" s="18" t="n"/>
      <c r="J88" s="20">
        <f>IFERROR(H88-I88,"")</f>
        <v/>
      </c>
      <c r="K88" s="20">
        <f>IFERROR(F88-H88,"")</f>
        <v/>
      </c>
      <c r="L88" s="51">
        <f>IFERROR(K88/F88,"")</f>
        <v/>
      </c>
      <c r="M88" s="18" t="n"/>
    </row>
    <row r="89" ht="18" customHeight="1">
      <c r="A89" s="15">
        <f>IFERROR(ROW()-2,"")</f>
        <v/>
      </c>
      <c r="B89" s="15" t="n"/>
      <c r="C89" s="15" t="n"/>
      <c r="D89" s="15" t="n"/>
      <c r="E89" s="15" t="n"/>
      <c r="F89" s="15" t="n"/>
      <c r="G89" s="15" t="n"/>
      <c r="H89" s="15" t="n"/>
      <c r="I89" s="15" t="n"/>
      <c r="J89" s="17">
        <f>IFERROR(H89-I89,"")</f>
        <v/>
      </c>
      <c r="K89" s="17">
        <f>IFERROR(F89-H89,"")</f>
        <v/>
      </c>
      <c r="L89" s="50">
        <f>IFERROR(K89/F89,"")</f>
        <v/>
      </c>
      <c r="M89" s="15" t="n"/>
    </row>
    <row r="90" ht="18" customHeight="1">
      <c r="A90" s="18">
        <f>IFERROR(ROW()-2,"")</f>
        <v/>
      </c>
      <c r="B90" s="18" t="n"/>
      <c r="C90" s="18" t="n"/>
      <c r="D90" s="18" t="n"/>
      <c r="E90" s="18" t="n"/>
      <c r="F90" s="18" t="n"/>
      <c r="G90" s="18" t="n"/>
      <c r="H90" s="18" t="n"/>
      <c r="I90" s="18" t="n"/>
      <c r="J90" s="20">
        <f>IFERROR(H90-I90,"")</f>
        <v/>
      </c>
      <c r="K90" s="20">
        <f>IFERROR(F90-H90,"")</f>
        <v/>
      </c>
      <c r="L90" s="51">
        <f>IFERROR(K90/F90,"")</f>
        <v/>
      </c>
      <c r="M90" s="18" t="n"/>
    </row>
    <row r="91" ht="18" customHeight="1">
      <c r="A91" s="15">
        <f>IFERROR(ROW()-2,"")</f>
        <v/>
      </c>
      <c r="B91" s="15" t="n"/>
      <c r="C91" s="15" t="n"/>
      <c r="D91" s="15" t="n"/>
      <c r="E91" s="15" t="n"/>
      <c r="F91" s="15" t="n"/>
      <c r="G91" s="15" t="n"/>
      <c r="H91" s="15" t="n"/>
      <c r="I91" s="15" t="n"/>
      <c r="J91" s="17">
        <f>IFERROR(H91-I91,"")</f>
        <v/>
      </c>
      <c r="K91" s="17">
        <f>IFERROR(F91-H91,"")</f>
        <v/>
      </c>
      <c r="L91" s="50">
        <f>IFERROR(K91/F91,"")</f>
        <v/>
      </c>
      <c r="M91" s="15" t="n"/>
    </row>
    <row r="92" ht="18" customHeight="1">
      <c r="A92" s="18">
        <f>IFERROR(ROW()-2,"")</f>
        <v/>
      </c>
      <c r="B92" s="18" t="n"/>
      <c r="C92" s="18" t="n"/>
      <c r="D92" s="18" t="n"/>
      <c r="E92" s="18" t="n"/>
      <c r="F92" s="18" t="n"/>
      <c r="G92" s="18" t="n"/>
      <c r="H92" s="18" t="n"/>
      <c r="I92" s="18" t="n"/>
      <c r="J92" s="20">
        <f>IFERROR(H92-I92,"")</f>
        <v/>
      </c>
      <c r="K92" s="20">
        <f>IFERROR(F92-H92,"")</f>
        <v/>
      </c>
      <c r="L92" s="51">
        <f>IFERROR(K92/F92,"")</f>
        <v/>
      </c>
      <c r="M92" s="18" t="n"/>
    </row>
    <row r="93" ht="18" customHeight="1">
      <c r="A93" s="15">
        <f>IFERROR(ROW()-2,"")</f>
        <v/>
      </c>
      <c r="B93" s="15" t="n"/>
      <c r="C93" s="15" t="n"/>
      <c r="D93" s="15" t="n"/>
      <c r="E93" s="15" t="n"/>
      <c r="F93" s="15" t="n"/>
      <c r="G93" s="15" t="n"/>
      <c r="H93" s="15" t="n"/>
      <c r="I93" s="15" t="n"/>
      <c r="J93" s="17">
        <f>IFERROR(H93-I93,"")</f>
        <v/>
      </c>
      <c r="K93" s="17">
        <f>IFERROR(F93-H93,"")</f>
        <v/>
      </c>
      <c r="L93" s="50">
        <f>IFERROR(K93/F93,"")</f>
        <v/>
      </c>
      <c r="M93" s="15" t="n"/>
    </row>
    <row r="94" ht="18" customHeight="1">
      <c r="A94" s="18">
        <f>IFERROR(ROW()-2,"")</f>
        <v/>
      </c>
      <c r="B94" s="18" t="n"/>
      <c r="C94" s="18" t="n"/>
      <c r="D94" s="18" t="n"/>
      <c r="E94" s="18" t="n"/>
      <c r="F94" s="18" t="n"/>
      <c r="G94" s="18" t="n"/>
      <c r="H94" s="18" t="n"/>
      <c r="I94" s="18" t="n"/>
      <c r="J94" s="20">
        <f>IFERROR(H94-I94,"")</f>
        <v/>
      </c>
      <c r="K94" s="20">
        <f>IFERROR(F94-H94,"")</f>
        <v/>
      </c>
      <c r="L94" s="51">
        <f>IFERROR(K94/F94,"")</f>
        <v/>
      </c>
      <c r="M94" s="18" t="n"/>
    </row>
    <row r="95" ht="18" customHeight="1">
      <c r="A95" s="15">
        <f>IFERROR(ROW()-2,"")</f>
        <v/>
      </c>
      <c r="B95" s="15" t="n"/>
      <c r="C95" s="15" t="n"/>
      <c r="D95" s="15" t="n"/>
      <c r="E95" s="15" t="n"/>
      <c r="F95" s="15" t="n"/>
      <c r="G95" s="15" t="n"/>
      <c r="H95" s="15" t="n"/>
      <c r="I95" s="15" t="n"/>
      <c r="J95" s="17">
        <f>IFERROR(H95-I95,"")</f>
        <v/>
      </c>
      <c r="K95" s="17">
        <f>IFERROR(F95-H95,"")</f>
        <v/>
      </c>
      <c r="L95" s="50">
        <f>IFERROR(K95/F95,"")</f>
        <v/>
      </c>
      <c r="M95" s="15" t="n"/>
    </row>
    <row r="96" ht="18" customHeight="1">
      <c r="A96" s="18">
        <f>IFERROR(ROW()-2,"")</f>
        <v/>
      </c>
      <c r="B96" s="18" t="n"/>
      <c r="C96" s="18" t="n"/>
      <c r="D96" s="18" t="n"/>
      <c r="E96" s="18" t="n"/>
      <c r="F96" s="18" t="n"/>
      <c r="G96" s="18" t="n"/>
      <c r="H96" s="18" t="n"/>
      <c r="I96" s="18" t="n"/>
      <c r="J96" s="20">
        <f>IFERROR(H96-I96,"")</f>
        <v/>
      </c>
      <c r="K96" s="20">
        <f>IFERROR(F96-H96,"")</f>
        <v/>
      </c>
      <c r="L96" s="51">
        <f>IFERROR(K96/F96,"")</f>
        <v/>
      </c>
      <c r="M96" s="18" t="n"/>
    </row>
    <row r="97" ht="18" customHeight="1">
      <c r="A97" s="15">
        <f>IFERROR(ROW()-2,"")</f>
        <v/>
      </c>
      <c r="B97" s="15" t="n"/>
      <c r="C97" s="15" t="n"/>
      <c r="D97" s="15" t="n"/>
      <c r="E97" s="15" t="n"/>
      <c r="F97" s="15" t="n"/>
      <c r="G97" s="15" t="n"/>
      <c r="H97" s="15" t="n"/>
      <c r="I97" s="15" t="n"/>
      <c r="J97" s="17">
        <f>IFERROR(H97-I97,"")</f>
        <v/>
      </c>
      <c r="K97" s="17">
        <f>IFERROR(F97-H97,"")</f>
        <v/>
      </c>
      <c r="L97" s="50">
        <f>IFERROR(K97/F97,"")</f>
        <v/>
      </c>
      <c r="M97" s="15" t="n"/>
    </row>
    <row r="98" ht="18" customHeight="1">
      <c r="A98" s="18">
        <f>IFERROR(ROW()-2,"")</f>
        <v/>
      </c>
      <c r="B98" s="18" t="n"/>
      <c r="C98" s="18" t="n"/>
      <c r="D98" s="18" t="n"/>
      <c r="E98" s="18" t="n"/>
      <c r="F98" s="18" t="n"/>
      <c r="G98" s="18" t="n"/>
      <c r="H98" s="18" t="n"/>
      <c r="I98" s="18" t="n"/>
      <c r="J98" s="20">
        <f>IFERROR(H98-I98,"")</f>
        <v/>
      </c>
      <c r="K98" s="20">
        <f>IFERROR(F98-H98,"")</f>
        <v/>
      </c>
      <c r="L98" s="51">
        <f>IFERROR(K98/F98,"")</f>
        <v/>
      </c>
      <c r="M98" s="18" t="n"/>
    </row>
    <row r="99" ht="18" customHeight="1">
      <c r="A99" s="15">
        <f>IFERROR(ROW()-2,"")</f>
        <v/>
      </c>
      <c r="B99" s="15" t="n"/>
      <c r="C99" s="15" t="n"/>
      <c r="D99" s="15" t="n"/>
      <c r="E99" s="15" t="n"/>
      <c r="F99" s="15" t="n"/>
      <c r="G99" s="15" t="n"/>
      <c r="H99" s="15" t="n"/>
      <c r="I99" s="15" t="n"/>
      <c r="J99" s="17">
        <f>IFERROR(H99-I99,"")</f>
        <v/>
      </c>
      <c r="K99" s="17">
        <f>IFERROR(F99-H99,"")</f>
        <v/>
      </c>
      <c r="L99" s="50">
        <f>IFERROR(K99/F99,"")</f>
        <v/>
      </c>
      <c r="M99" s="15" t="n"/>
    </row>
    <row r="100" ht="18" customHeight="1">
      <c r="A100" s="18">
        <f>IFERROR(ROW()-2,"")</f>
        <v/>
      </c>
      <c r="B100" s="18" t="n"/>
      <c r="C100" s="18" t="n"/>
      <c r="D100" s="18" t="n"/>
      <c r="E100" s="18" t="n"/>
      <c r="F100" s="18" t="n"/>
      <c r="G100" s="18" t="n"/>
      <c r="H100" s="18" t="n"/>
      <c r="I100" s="18" t="n"/>
      <c r="J100" s="20">
        <f>IFERROR(H100-I100,"")</f>
        <v/>
      </c>
      <c r="K100" s="20">
        <f>IFERROR(F100-H100,"")</f>
        <v/>
      </c>
      <c r="L100" s="51">
        <f>IFERROR(K100/F100,"")</f>
        <v/>
      </c>
      <c r="M100" s="18" t="n"/>
    </row>
    <row r="101" ht="18" customHeight="1">
      <c r="A101" s="15">
        <f>IFERROR(ROW()-2,"")</f>
        <v/>
      </c>
      <c r="B101" s="15" t="n"/>
      <c r="C101" s="15" t="n"/>
      <c r="D101" s="15" t="n"/>
      <c r="E101" s="15" t="n"/>
      <c r="F101" s="15" t="n"/>
      <c r="G101" s="15" t="n"/>
      <c r="H101" s="15" t="n"/>
      <c r="I101" s="15" t="n"/>
      <c r="J101" s="17">
        <f>IFERROR(H101-I101,"")</f>
        <v/>
      </c>
      <c r="K101" s="17">
        <f>IFERROR(F101-H101,"")</f>
        <v/>
      </c>
      <c r="L101" s="50">
        <f>IFERROR(K101/F101,"")</f>
        <v/>
      </c>
      <c r="M101" s="15" t="n"/>
    </row>
    <row r="102" ht="18" customHeight="1">
      <c r="A102" s="18">
        <f>IFERROR(ROW()-2,"")</f>
        <v/>
      </c>
      <c r="B102" s="18" t="n"/>
      <c r="C102" s="18" t="n"/>
      <c r="D102" s="18" t="n"/>
      <c r="E102" s="18" t="n"/>
      <c r="F102" s="18" t="n"/>
      <c r="G102" s="18" t="n"/>
      <c r="H102" s="18" t="n"/>
      <c r="I102" s="18" t="n"/>
      <c r="J102" s="20">
        <f>IFERROR(H102-I102,"")</f>
        <v/>
      </c>
      <c r="K102" s="20">
        <f>IFERROR(F102-H102,"")</f>
        <v/>
      </c>
      <c r="L102" s="51">
        <f>IFERROR(K102/F102,"")</f>
        <v/>
      </c>
      <c r="M102" s="18" t="n"/>
    </row>
  </sheetData>
  <mergeCells count="1">
    <mergeCell ref="A1:M1"/>
  </mergeCells>
  <conditionalFormatting sqref="C3:C102">
    <cfRule type="expression" priority="1" dxfId="0">
      <formula>C3="Em Aberto"</formula>
    </cfRule>
    <cfRule type="expression" priority="2" dxfId="1">
      <formula>C3="Em Produção"</formula>
    </cfRule>
    <cfRule type="expression" priority="3" dxfId="2">
      <formula>C3="Concluída"</formula>
    </cfRule>
    <cfRule type="expression" priority="4" dxfId="3">
      <formula>C3="Cancelada"</formula>
    </cfRule>
  </conditionalFormatting>
  <dataValidations count="1">
    <dataValidation sqref="C3:C102" showDropDown="0" showInputMessage="0" showErrorMessage="0" allowBlank="1" type="list">
      <formula1>"Em Aberto,Confirmada,Em Produção,Expedida,Concluída,Cancelada"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0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24" customWidth="1" min="3" max="3"/>
    <col width="20" customWidth="1" min="4" max="4"/>
    <col width="18" customWidth="1" min="5" max="5"/>
    <col width="14" customWidth="1" min="6" max="6"/>
    <col width="18" customWidth="1" min="7" max="7"/>
    <col width="18" customWidth="1" min="8" max="8"/>
    <col width="18" customWidth="1" min="9" max="9"/>
    <col width="18" customWidth="1" min="10" max="10"/>
    <col width="16" customWidth="1" min="11" max="11"/>
    <col width="22" customWidth="1" min="12" max="12"/>
  </cols>
  <sheetData>
    <row r="1" ht="32" customHeight="1">
      <c r="A1" s="22" t="inlineStr">
        <is>
          <t>EMPRESA MANUFATUREIRA — FORNECEDORES POR ENCOMENDA</t>
        </is>
      </c>
    </row>
    <row r="2" ht="22" customHeight="1">
      <c r="A2" s="23" t="inlineStr">
        <is>
          <t>Nº</t>
        </is>
      </c>
      <c r="B2" s="23" t="inlineStr">
        <is>
          <t>ID Encomenda</t>
        </is>
      </c>
      <c r="C2" s="23" t="inlineStr">
        <is>
          <t>Fornecedor</t>
        </is>
      </c>
      <c r="D2" s="23" t="inlineStr">
        <is>
          <t>Tipo Material</t>
        </is>
      </c>
      <c r="E2" s="23" t="inlineStr">
        <is>
          <t>Valor Total (€)</t>
        </is>
      </c>
      <c r="F2" s="23" t="inlineStr">
        <is>
          <t>Cond. Pagamento</t>
        </is>
      </c>
      <c r="G2" s="23" t="inlineStr">
        <is>
          <t>Valor Antecip. (€)</t>
        </is>
      </c>
      <c r="H2" s="23" t="inlineStr">
        <is>
          <t>Data Pagto Antecip.</t>
        </is>
      </c>
      <c r="I2" s="23" t="inlineStr">
        <is>
          <t>Valor Restante (€)</t>
        </is>
      </c>
      <c r="J2" s="23" t="inlineStr">
        <is>
          <t>Data Pagto Restante</t>
        </is>
      </c>
      <c r="K2" s="23" t="inlineStr">
        <is>
          <t>Estado Pagamento</t>
        </is>
      </c>
      <c r="L2" s="23" t="inlineStr">
        <is>
          <t>Observações</t>
        </is>
      </c>
    </row>
    <row r="3" ht="18" customHeight="1">
      <c r="A3" s="15" t="n">
        <v>1</v>
      </c>
      <c r="B3" s="15" t="inlineStr">
        <is>
          <t>ENC-2026-001</t>
        </is>
      </c>
      <c r="C3" s="15" t="inlineStr">
        <is>
          <t>Fornecedor Cascos</t>
        </is>
      </c>
      <c r="D3" s="15" t="inlineStr">
        <is>
          <t>Casco/Estrutura</t>
        </is>
      </c>
      <c r="E3" s="17" t="n">
        <v>4100</v>
      </c>
      <c r="F3" s="15" t="inlineStr">
        <is>
          <t>50/50</t>
        </is>
      </c>
      <c r="G3" s="17" t="n">
        <v>2050</v>
      </c>
      <c r="H3" s="16" t="n">
        <v>46091</v>
      </c>
      <c r="I3" s="17">
        <f>IFERROR(E3-G3,"")</f>
        <v/>
      </c>
      <c r="J3" s="16" t="inlineStr"/>
      <c r="K3" s="15" t="inlineStr">
        <is>
          <t>Antecipado Pago</t>
        </is>
      </c>
      <c r="L3" s="15" t="inlineStr"/>
    </row>
    <row r="4" ht="18" customHeight="1">
      <c r="A4" s="18" t="n">
        <v>2</v>
      </c>
      <c r="B4" s="18" t="inlineStr">
        <is>
          <t>ENC-2026-001</t>
        </is>
      </c>
      <c r="C4" s="18" t="inlineStr">
        <is>
          <t>Fornecedor Tecidos</t>
        </is>
      </c>
      <c r="D4" s="18" t="inlineStr">
        <is>
          <t>Tecido</t>
        </is>
      </c>
      <c r="E4" s="20" t="n">
        <v>2800</v>
      </c>
      <c r="F4" s="18" t="inlineStr">
        <is>
          <t>40/60</t>
        </is>
      </c>
      <c r="G4" s="20" t="n">
        <v>1120</v>
      </c>
      <c r="H4" s="19" t="n">
        <v>46093</v>
      </c>
      <c r="I4" s="20">
        <f>IFERROR(E4-G4,"")</f>
        <v/>
      </c>
      <c r="J4" s="19" t="inlineStr"/>
      <c r="K4" s="18" t="inlineStr">
        <is>
          <t>Antecipado Pago</t>
        </is>
      </c>
      <c r="L4" s="18" t="inlineStr"/>
    </row>
    <row r="5" ht="18" customHeight="1">
      <c r="A5" s="15" t="n">
        <v>3</v>
      </c>
      <c r="B5" s="15" t="inlineStr">
        <is>
          <t>ENC-2026-001</t>
        </is>
      </c>
      <c r="C5" s="15" t="inlineStr">
        <is>
          <t>Fornecedor Metálicos</t>
        </is>
      </c>
      <c r="D5" s="15" t="inlineStr">
        <is>
          <t>Peças Metálicas</t>
        </is>
      </c>
      <c r="E5" s="17" t="n">
        <v>1300</v>
      </c>
      <c r="F5" s="15" t="inlineStr">
        <is>
          <t>30/70</t>
        </is>
      </c>
      <c r="G5" s="17" t="n">
        <v>390</v>
      </c>
      <c r="H5" s="16" t="n">
        <v>46096</v>
      </c>
      <c r="I5" s="17">
        <f>IFERROR(E5-G5,"")</f>
        <v/>
      </c>
      <c r="J5" s="16" t="inlineStr"/>
      <c r="K5" s="15" t="inlineStr">
        <is>
          <t>Antecipado Pago</t>
        </is>
      </c>
      <c r="L5" s="15" t="inlineStr"/>
    </row>
    <row r="6" ht="18" customHeight="1">
      <c r="A6" s="18" t="n">
        <v>4</v>
      </c>
      <c r="B6" s="18" t="inlineStr">
        <is>
          <t>ENC-2026-002</t>
        </is>
      </c>
      <c r="C6" s="18" t="inlineStr">
        <is>
          <t>Fornecedor Cascos</t>
        </is>
      </c>
      <c r="D6" s="18" t="inlineStr">
        <is>
          <t>Casco/Estrutura</t>
        </is>
      </c>
      <c r="E6" s="20" t="n">
        <v>3200</v>
      </c>
      <c r="F6" s="18" t="inlineStr">
        <is>
          <t>50/50</t>
        </is>
      </c>
      <c r="G6" s="20" t="n">
        <v>1600</v>
      </c>
      <c r="H6" s="19" t="n">
        <v>46101</v>
      </c>
      <c r="I6" s="20">
        <f>IFERROR(E6-G6,"")</f>
        <v/>
      </c>
      <c r="J6" s="19" t="inlineStr"/>
      <c r="K6" s="18" t="inlineStr">
        <is>
          <t>Antecipado Pago</t>
        </is>
      </c>
      <c r="L6" s="18" t="inlineStr"/>
    </row>
    <row r="7" ht="18" customHeight="1">
      <c r="A7" s="15" t="n">
        <v>5</v>
      </c>
      <c r="B7" s="15" t="inlineStr">
        <is>
          <t>ENC-2026-002</t>
        </is>
      </c>
      <c r="C7" s="15" t="inlineStr">
        <is>
          <t>Fornecedor Espumas</t>
        </is>
      </c>
      <c r="D7" s="15" t="inlineStr">
        <is>
          <t>Espuma</t>
        </is>
      </c>
      <c r="E7" s="17" t="n">
        <v>900</v>
      </c>
      <c r="F7" s="15" t="inlineStr">
        <is>
          <t>30/70</t>
        </is>
      </c>
      <c r="G7" s="17" t="n">
        <v>270</v>
      </c>
      <c r="H7" s="16" t="n">
        <v>46103</v>
      </c>
      <c r="I7" s="17">
        <f>IFERROR(E7-G7,"")</f>
        <v/>
      </c>
      <c r="J7" s="16" t="inlineStr"/>
      <c r="K7" s="15" t="inlineStr">
        <is>
          <t>Antecipado Pago</t>
        </is>
      </c>
      <c r="L7" s="15" t="inlineStr"/>
    </row>
    <row r="8" ht="18" customHeight="1">
      <c r="A8" s="18" t="n">
        <v>6</v>
      </c>
      <c r="B8" s="18" t="inlineStr">
        <is>
          <t>ENC-2026-002</t>
        </is>
      </c>
      <c r="C8" s="18" t="inlineStr">
        <is>
          <t>Fornecedor Tecidos</t>
        </is>
      </c>
      <c r="D8" s="18" t="inlineStr">
        <is>
          <t>Tecido</t>
        </is>
      </c>
      <c r="E8" s="20" t="n">
        <v>2000</v>
      </c>
      <c r="F8" s="18" t="inlineStr">
        <is>
          <t>40/60</t>
        </is>
      </c>
      <c r="G8" s="20" t="n">
        <v>800</v>
      </c>
      <c r="H8" s="19" t="n">
        <v>46106</v>
      </c>
      <c r="I8" s="20">
        <f>IFERROR(E8-G8,"")</f>
        <v/>
      </c>
      <c r="J8" s="19" t="inlineStr"/>
      <c r="K8" s="18" t="inlineStr">
        <is>
          <t>Antecipado Pago</t>
        </is>
      </c>
      <c r="L8" s="18" t="inlineStr"/>
    </row>
    <row r="9" ht="18" customHeight="1">
      <c r="A9" s="15" t="n">
        <v>7</v>
      </c>
      <c r="B9" s="15" t="inlineStr">
        <is>
          <t>ENC-2026-003</t>
        </is>
      </c>
      <c r="C9" s="15" t="inlineStr">
        <is>
          <t>Fornecedor Metálicos</t>
        </is>
      </c>
      <c r="D9" s="15" t="inlineStr">
        <is>
          <t>Peças Metálicas</t>
        </is>
      </c>
      <c r="E9" s="17" t="n">
        <v>800</v>
      </c>
      <c r="F9" s="15" t="inlineStr">
        <is>
          <t>50/50</t>
        </is>
      </c>
      <c r="G9" s="17" t="n">
        <v>400</v>
      </c>
      <c r="H9" s="16" t="n">
        <v>46113</v>
      </c>
      <c r="I9" s="17">
        <f>IFERROR(E9-G9,"")</f>
        <v/>
      </c>
      <c r="J9" s="16" t="inlineStr"/>
      <c r="K9" s="15" t="inlineStr">
        <is>
          <t>Pendente</t>
        </is>
      </c>
      <c r="L9" s="15" t="inlineStr"/>
    </row>
    <row r="10" ht="18" customHeight="1">
      <c r="A10" s="18" t="n">
        <v>8</v>
      </c>
      <c r="B10" s="18" t="inlineStr">
        <is>
          <t>ENC-2026-003</t>
        </is>
      </c>
      <c r="C10" s="18" t="inlineStr">
        <is>
          <t>Fornecedor Tecidos</t>
        </is>
      </c>
      <c r="D10" s="18" t="inlineStr">
        <is>
          <t>Tecido</t>
        </is>
      </c>
      <c r="E10" s="20" t="n">
        <v>2000</v>
      </c>
      <c r="F10" s="18" t="inlineStr">
        <is>
          <t>50/50</t>
        </is>
      </c>
      <c r="G10" s="20" t="n">
        <v>1000</v>
      </c>
      <c r="H10" s="19" t="n">
        <v>46113</v>
      </c>
      <c r="I10" s="20">
        <f>IFERROR(E10-G10,"")</f>
        <v/>
      </c>
      <c r="J10" s="19" t="inlineStr"/>
      <c r="K10" s="18" t="inlineStr">
        <is>
          <t>Pendente</t>
        </is>
      </c>
      <c r="L10" s="18" t="inlineStr"/>
    </row>
    <row r="11" ht="18" customHeight="1">
      <c r="A11" s="15" t="n"/>
      <c r="B11" s="15" t="n"/>
      <c r="C11" s="15" t="n"/>
      <c r="D11" s="15" t="n"/>
      <c r="E11" s="15" t="n"/>
      <c r="F11" s="15" t="n"/>
      <c r="G11" s="15" t="n"/>
      <c r="H11" s="15" t="n"/>
      <c r="I11" s="17">
        <f>IFERROR(E11-G11,"")</f>
        <v/>
      </c>
      <c r="J11" s="15" t="n"/>
      <c r="K11" s="15" t="n"/>
      <c r="L11" s="15" t="n"/>
    </row>
    <row r="12" ht="18" customHeight="1">
      <c r="A12" s="18" t="n"/>
      <c r="B12" s="18" t="n"/>
      <c r="C12" s="18" t="n"/>
      <c r="D12" s="18" t="n"/>
      <c r="E12" s="18" t="n"/>
      <c r="F12" s="18" t="n"/>
      <c r="G12" s="18" t="n"/>
      <c r="H12" s="18" t="n"/>
      <c r="I12" s="20">
        <f>IFERROR(E12-G12,"")</f>
        <v/>
      </c>
      <c r="J12" s="18" t="n"/>
      <c r="K12" s="18" t="n"/>
      <c r="L12" s="18" t="n"/>
    </row>
    <row r="13" ht="18" customHeight="1">
      <c r="A13" s="15" t="n"/>
      <c r="B13" s="15" t="n"/>
      <c r="C13" s="15" t="n"/>
      <c r="D13" s="15" t="n"/>
      <c r="E13" s="15" t="n"/>
      <c r="F13" s="15" t="n"/>
      <c r="G13" s="15" t="n"/>
      <c r="H13" s="15" t="n"/>
      <c r="I13" s="17">
        <f>IFERROR(E13-G13,"")</f>
        <v/>
      </c>
      <c r="J13" s="15" t="n"/>
      <c r="K13" s="15" t="n"/>
      <c r="L13" s="15" t="n"/>
    </row>
    <row r="14" ht="18" customHeight="1">
      <c r="A14" s="18" t="n"/>
      <c r="B14" s="18" t="n"/>
      <c r="C14" s="18" t="n"/>
      <c r="D14" s="18" t="n"/>
      <c r="E14" s="18" t="n"/>
      <c r="F14" s="18" t="n"/>
      <c r="G14" s="18" t="n"/>
      <c r="H14" s="18" t="n"/>
      <c r="I14" s="20">
        <f>IFERROR(E14-G14,"")</f>
        <v/>
      </c>
      <c r="J14" s="18" t="n"/>
      <c r="K14" s="18" t="n"/>
      <c r="L14" s="18" t="n"/>
    </row>
    <row r="15" ht="18" customHeight="1">
      <c r="A15" s="15" t="n"/>
      <c r="B15" s="15" t="n"/>
      <c r="C15" s="15" t="n"/>
      <c r="D15" s="15" t="n"/>
      <c r="E15" s="15" t="n"/>
      <c r="F15" s="15" t="n"/>
      <c r="G15" s="15" t="n"/>
      <c r="H15" s="15" t="n"/>
      <c r="I15" s="17">
        <f>IFERROR(E15-G15,"")</f>
        <v/>
      </c>
      <c r="J15" s="15" t="n"/>
      <c r="K15" s="15" t="n"/>
      <c r="L15" s="15" t="n"/>
    </row>
    <row r="16" ht="18" customHeight="1">
      <c r="A16" s="18" t="n"/>
      <c r="B16" s="18" t="n"/>
      <c r="C16" s="18" t="n"/>
      <c r="D16" s="18" t="n"/>
      <c r="E16" s="18" t="n"/>
      <c r="F16" s="18" t="n"/>
      <c r="G16" s="18" t="n"/>
      <c r="H16" s="18" t="n"/>
      <c r="I16" s="20">
        <f>IFERROR(E16-G16,"")</f>
        <v/>
      </c>
      <c r="J16" s="18" t="n"/>
      <c r="K16" s="18" t="n"/>
      <c r="L16" s="18" t="n"/>
    </row>
    <row r="17" ht="18" customHeight="1">
      <c r="A17" s="15" t="n"/>
      <c r="B17" s="15" t="n"/>
      <c r="C17" s="15" t="n"/>
      <c r="D17" s="15" t="n"/>
      <c r="E17" s="15" t="n"/>
      <c r="F17" s="15" t="n"/>
      <c r="G17" s="15" t="n"/>
      <c r="H17" s="15" t="n"/>
      <c r="I17" s="17">
        <f>IFERROR(E17-G17,"")</f>
        <v/>
      </c>
      <c r="J17" s="15" t="n"/>
      <c r="K17" s="15" t="n"/>
      <c r="L17" s="15" t="n"/>
    </row>
    <row r="18" ht="18" customHeight="1">
      <c r="A18" s="18" t="n"/>
      <c r="B18" s="18" t="n"/>
      <c r="C18" s="18" t="n"/>
      <c r="D18" s="18" t="n"/>
      <c r="E18" s="18" t="n"/>
      <c r="F18" s="18" t="n"/>
      <c r="G18" s="18" t="n"/>
      <c r="H18" s="18" t="n"/>
      <c r="I18" s="20">
        <f>IFERROR(E18-G18,"")</f>
        <v/>
      </c>
      <c r="J18" s="18" t="n"/>
      <c r="K18" s="18" t="n"/>
      <c r="L18" s="18" t="n"/>
    </row>
    <row r="19" ht="18" customHeight="1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7">
        <f>IFERROR(E19-G19,"")</f>
        <v/>
      </c>
      <c r="J19" s="15" t="n"/>
      <c r="K19" s="15" t="n"/>
      <c r="L19" s="15" t="n"/>
    </row>
    <row r="20" ht="18" customHeight="1">
      <c r="A20" s="18" t="n"/>
      <c r="B20" s="18" t="n"/>
      <c r="C20" s="18" t="n"/>
      <c r="D20" s="18" t="n"/>
      <c r="E20" s="18" t="n"/>
      <c r="F20" s="18" t="n"/>
      <c r="G20" s="18" t="n"/>
      <c r="H20" s="18" t="n"/>
      <c r="I20" s="20">
        <f>IFERROR(E20-G20,"")</f>
        <v/>
      </c>
      <c r="J20" s="18" t="n"/>
      <c r="K20" s="18" t="n"/>
      <c r="L20" s="18" t="n"/>
    </row>
    <row r="21" ht="18" customHeight="1">
      <c r="A21" s="15" t="n"/>
      <c r="B21" s="15" t="n"/>
      <c r="C21" s="15" t="n"/>
      <c r="D21" s="15" t="n"/>
      <c r="E21" s="15" t="n"/>
      <c r="F21" s="15" t="n"/>
      <c r="G21" s="15" t="n"/>
      <c r="H21" s="15" t="n"/>
      <c r="I21" s="17">
        <f>IFERROR(E21-G21,"")</f>
        <v/>
      </c>
      <c r="J21" s="15" t="n"/>
      <c r="K21" s="15" t="n"/>
      <c r="L21" s="15" t="n"/>
    </row>
    <row r="22" ht="18" customHeight="1">
      <c r="A22" s="18" t="n"/>
      <c r="B22" s="18" t="n"/>
      <c r="C22" s="18" t="n"/>
      <c r="D22" s="18" t="n"/>
      <c r="E22" s="18" t="n"/>
      <c r="F22" s="18" t="n"/>
      <c r="G22" s="18" t="n"/>
      <c r="H22" s="18" t="n"/>
      <c r="I22" s="20">
        <f>IFERROR(E22-G22,"")</f>
        <v/>
      </c>
      <c r="J22" s="18" t="n"/>
      <c r="K22" s="18" t="n"/>
      <c r="L22" s="18" t="n"/>
    </row>
    <row r="23" ht="18" customHeight="1">
      <c r="A23" s="15" t="n"/>
      <c r="B23" s="15" t="n"/>
      <c r="C23" s="15" t="n"/>
      <c r="D23" s="15" t="n"/>
      <c r="E23" s="15" t="n"/>
      <c r="F23" s="15" t="n"/>
      <c r="G23" s="15" t="n"/>
      <c r="H23" s="15" t="n"/>
      <c r="I23" s="17">
        <f>IFERROR(E23-G23,"")</f>
        <v/>
      </c>
      <c r="J23" s="15" t="n"/>
      <c r="K23" s="15" t="n"/>
      <c r="L23" s="15" t="n"/>
    </row>
    <row r="24" ht="18" customHeight="1">
      <c r="A24" s="18" t="n"/>
      <c r="B24" s="18" t="n"/>
      <c r="C24" s="18" t="n"/>
      <c r="D24" s="18" t="n"/>
      <c r="E24" s="18" t="n"/>
      <c r="F24" s="18" t="n"/>
      <c r="G24" s="18" t="n"/>
      <c r="H24" s="18" t="n"/>
      <c r="I24" s="20">
        <f>IFERROR(E24-G24,"")</f>
        <v/>
      </c>
      <c r="J24" s="18" t="n"/>
      <c r="K24" s="18" t="n"/>
      <c r="L24" s="18" t="n"/>
    </row>
    <row r="25" ht="18" customHeight="1">
      <c r="A25" s="15" t="n"/>
      <c r="B25" s="15" t="n"/>
      <c r="C25" s="15" t="n"/>
      <c r="D25" s="15" t="n"/>
      <c r="E25" s="15" t="n"/>
      <c r="F25" s="15" t="n"/>
      <c r="G25" s="15" t="n"/>
      <c r="H25" s="15" t="n"/>
      <c r="I25" s="17">
        <f>IFERROR(E25-G25,"")</f>
        <v/>
      </c>
      <c r="J25" s="15" t="n"/>
      <c r="K25" s="15" t="n"/>
      <c r="L25" s="15" t="n"/>
    </row>
    <row r="26" ht="18" customHeight="1">
      <c r="A26" s="18" t="n"/>
      <c r="B26" s="18" t="n"/>
      <c r="C26" s="18" t="n"/>
      <c r="D26" s="18" t="n"/>
      <c r="E26" s="18" t="n"/>
      <c r="F26" s="18" t="n"/>
      <c r="G26" s="18" t="n"/>
      <c r="H26" s="18" t="n"/>
      <c r="I26" s="20">
        <f>IFERROR(E26-G26,"")</f>
        <v/>
      </c>
      <c r="J26" s="18" t="n"/>
      <c r="K26" s="18" t="n"/>
      <c r="L26" s="18" t="n"/>
    </row>
    <row r="27" ht="18" customHeight="1">
      <c r="A27" s="15" t="n"/>
      <c r="B27" s="15" t="n"/>
      <c r="C27" s="15" t="n"/>
      <c r="D27" s="15" t="n"/>
      <c r="E27" s="15" t="n"/>
      <c r="F27" s="15" t="n"/>
      <c r="G27" s="15" t="n"/>
      <c r="H27" s="15" t="n"/>
      <c r="I27" s="17">
        <f>IFERROR(E27-G27,"")</f>
        <v/>
      </c>
      <c r="J27" s="15" t="n"/>
      <c r="K27" s="15" t="n"/>
      <c r="L27" s="15" t="n"/>
    </row>
    <row r="28" ht="18" customHeight="1">
      <c r="A28" s="18" t="n"/>
      <c r="B28" s="18" t="n"/>
      <c r="C28" s="18" t="n"/>
      <c r="D28" s="18" t="n"/>
      <c r="E28" s="18" t="n"/>
      <c r="F28" s="18" t="n"/>
      <c r="G28" s="18" t="n"/>
      <c r="H28" s="18" t="n"/>
      <c r="I28" s="20">
        <f>IFERROR(E28-G28,"")</f>
        <v/>
      </c>
      <c r="J28" s="18" t="n"/>
      <c r="K28" s="18" t="n"/>
      <c r="L28" s="18" t="n"/>
    </row>
    <row r="29" ht="18" customHeight="1">
      <c r="A29" s="15" t="n"/>
      <c r="B29" s="15" t="n"/>
      <c r="C29" s="15" t="n"/>
      <c r="D29" s="15" t="n"/>
      <c r="E29" s="15" t="n"/>
      <c r="F29" s="15" t="n"/>
      <c r="G29" s="15" t="n"/>
      <c r="H29" s="15" t="n"/>
      <c r="I29" s="17">
        <f>IFERROR(E29-G29,"")</f>
        <v/>
      </c>
      <c r="J29" s="15" t="n"/>
      <c r="K29" s="15" t="n"/>
      <c r="L29" s="15" t="n"/>
    </row>
    <row r="30" ht="18" customHeight="1">
      <c r="A30" s="18" t="n"/>
      <c r="B30" s="18" t="n"/>
      <c r="C30" s="18" t="n"/>
      <c r="D30" s="18" t="n"/>
      <c r="E30" s="18" t="n"/>
      <c r="F30" s="18" t="n"/>
      <c r="G30" s="18" t="n"/>
      <c r="H30" s="18" t="n"/>
      <c r="I30" s="20">
        <f>IFERROR(E30-G30,"")</f>
        <v/>
      </c>
      <c r="J30" s="18" t="n"/>
      <c r="K30" s="18" t="n"/>
      <c r="L30" s="18" t="n"/>
    </row>
    <row r="31" ht="18" customHeight="1">
      <c r="A31" s="15" t="n"/>
      <c r="B31" s="15" t="n"/>
      <c r="C31" s="15" t="n"/>
      <c r="D31" s="15" t="n"/>
      <c r="E31" s="15" t="n"/>
      <c r="F31" s="15" t="n"/>
      <c r="G31" s="15" t="n"/>
      <c r="H31" s="15" t="n"/>
      <c r="I31" s="17">
        <f>IFERROR(E31-G31,"")</f>
        <v/>
      </c>
      <c r="J31" s="15" t="n"/>
      <c r="K31" s="15" t="n"/>
      <c r="L31" s="15" t="n"/>
    </row>
    <row r="32" ht="18" customHeight="1">
      <c r="A32" s="18" t="n"/>
      <c r="B32" s="18" t="n"/>
      <c r="C32" s="18" t="n"/>
      <c r="D32" s="18" t="n"/>
      <c r="E32" s="18" t="n"/>
      <c r="F32" s="18" t="n"/>
      <c r="G32" s="18" t="n"/>
      <c r="H32" s="18" t="n"/>
      <c r="I32" s="20">
        <f>IFERROR(E32-G32,"")</f>
        <v/>
      </c>
      <c r="J32" s="18" t="n"/>
      <c r="K32" s="18" t="n"/>
      <c r="L32" s="18" t="n"/>
    </row>
    <row r="33" ht="18" customHeight="1">
      <c r="A33" s="15" t="n"/>
      <c r="B33" s="15" t="n"/>
      <c r="C33" s="15" t="n"/>
      <c r="D33" s="15" t="n"/>
      <c r="E33" s="15" t="n"/>
      <c r="F33" s="15" t="n"/>
      <c r="G33" s="15" t="n"/>
      <c r="H33" s="15" t="n"/>
      <c r="I33" s="17">
        <f>IFERROR(E33-G33,"")</f>
        <v/>
      </c>
      <c r="J33" s="15" t="n"/>
      <c r="K33" s="15" t="n"/>
      <c r="L33" s="15" t="n"/>
    </row>
    <row r="34" ht="18" customHeight="1">
      <c r="A34" s="18" t="n"/>
      <c r="B34" s="18" t="n"/>
      <c r="C34" s="18" t="n"/>
      <c r="D34" s="18" t="n"/>
      <c r="E34" s="18" t="n"/>
      <c r="F34" s="18" t="n"/>
      <c r="G34" s="18" t="n"/>
      <c r="H34" s="18" t="n"/>
      <c r="I34" s="20">
        <f>IFERROR(E34-G34,"")</f>
        <v/>
      </c>
      <c r="J34" s="18" t="n"/>
      <c r="K34" s="18" t="n"/>
      <c r="L34" s="18" t="n"/>
    </row>
    <row r="35" ht="18" customHeight="1">
      <c r="A35" s="15" t="n"/>
      <c r="B35" s="15" t="n"/>
      <c r="C35" s="15" t="n"/>
      <c r="D35" s="15" t="n"/>
      <c r="E35" s="15" t="n"/>
      <c r="F35" s="15" t="n"/>
      <c r="G35" s="15" t="n"/>
      <c r="H35" s="15" t="n"/>
      <c r="I35" s="17">
        <f>IFERROR(E35-G35,"")</f>
        <v/>
      </c>
      <c r="J35" s="15" t="n"/>
      <c r="K35" s="15" t="n"/>
      <c r="L35" s="15" t="n"/>
    </row>
    <row r="36" ht="18" customHeight="1">
      <c r="A36" s="18" t="n"/>
      <c r="B36" s="18" t="n"/>
      <c r="C36" s="18" t="n"/>
      <c r="D36" s="18" t="n"/>
      <c r="E36" s="18" t="n"/>
      <c r="F36" s="18" t="n"/>
      <c r="G36" s="18" t="n"/>
      <c r="H36" s="18" t="n"/>
      <c r="I36" s="20">
        <f>IFERROR(E36-G36,"")</f>
        <v/>
      </c>
      <c r="J36" s="18" t="n"/>
      <c r="K36" s="18" t="n"/>
      <c r="L36" s="18" t="n"/>
    </row>
    <row r="37" ht="18" customHeight="1">
      <c r="A37" s="15" t="n"/>
      <c r="B37" s="15" t="n"/>
      <c r="C37" s="15" t="n"/>
      <c r="D37" s="15" t="n"/>
      <c r="E37" s="15" t="n"/>
      <c r="F37" s="15" t="n"/>
      <c r="G37" s="15" t="n"/>
      <c r="H37" s="15" t="n"/>
      <c r="I37" s="17">
        <f>IFERROR(E37-G37,"")</f>
        <v/>
      </c>
      <c r="J37" s="15" t="n"/>
      <c r="K37" s="15" t="n"/>
      <c r="L37" s="15" t="n"/>
    </row>
    <row r="38" ht="18" customHeight="1">
      <c r="A38" s="18" t="n"/>
      <c r="B38" s="18" t="n"/>
      <c r="C38" s="18" t="n"/>
      <c r="D38" s="18" t="n"/>
      <c r="E38" s="18" t="n"/>
      <c r="F38" s="18" t="n"/>
      <c r="G38" s="18" t="n"/>
      <c r="H38" s="18" t="n"/>
      <c r="I38" s="20">
        <f>IFERROR(E38-G38,"")</f>
        <v/>
      </c>
      <c r="J38" s="18" t="n"/>
      <c r="K38" s="18" t="n"/>
      <c r="L38" s="18" t="n"/>
    </row>
    <row r="39" ht="18" customHeight="1">
      <c r="A39" s="15" t="n"/>
      <c r="B39" s="15" t="n"/>
      <c r="C39" s="15" t="n"/>
      <c r="D39" s="15" t="n"/>
      <c r="E39" s="15" t="n"/>
      <c r="F39" s="15" t="n"/>
      <c r="G39" s="15" t="n"/>
      <c r="H39" s="15" t="n"/>
      <c r="I39" s="17">
        <f>IFERROR(E39-G39,"")</f>
        <v/>
      </c>
      <c r="J39" s="15" t="n"/>
      <c r="K39" s="15" t="n"/>
      <c r="L39" s="15" t="n"/>
    </row>
    <row r="40" ht="18" customHeight="1">
      <c r="A40" s="18" t="n"/>
      <c r="B40" s="18" t="n"/>
      <c r="C40" s="18" t="n"/>
      <c r="D40" s="18" t="n"/>
      <c r="E40" s="18" t="n"/>
      <c r="F40" s="18" t="n"/>
      <c r="G40" s="18" t="n"/>
      <c r="H40" s="18" t="n"/>
      <c r="I40" s="20">
        <f>IFERROR(E40-G40,"")</f>
        <v/>
      </c>
      <c r="J40" s="18" t="n"/>
      <c r="K40" s="18" t="n"/>
      <c r="L40" s="18" t="n"/>
    </row>
    <row r="41" ht="18" customHeight="1">
      <c r="A41" s="15" t="n"/>
      <c r="B41" s="15" t="n"/>
      <c r="C41" s="15" t="n"/>
      <c r="D41" s="15" t="n"/>
      <c r="E41" s="15" t="n"/>
      <c r="F41" s="15" t="n"/>
      <c r="G41" s="15" t="n"/>
      <c r="H41" s="15" t="n"/>
      <c r="I41" s="17">
        <f>IFERROR(E41-G41,"")</f>
        <v/>
      </c>
      <c r="J41" s="15" t="n"/>
      <c r="K41" s="15" t="n"/>
      <c r="L41" s="15" t="n"/>
    </row>
    <row r="42" ht="18" customHeight="1">
      <c r="A42" s="18" t="n"/>
      <c r="B42" s="18" t="n"/>
      <c r="C42" s="18" t="n"/>
      <c r="D42" s="18" t="n"/>
      <c r="E42" s="18" t="n"/>
      <c r="F42" s="18" t="n"/>
      <c r="G42" s="18" t="n"/>
      <c r="H42" s="18" t="n"/>
      <c r="I42" s="20">
        <f>IFERROR(E42-G42,"")</f>
        <v/>
      </c>
      <c r="J42" s="18" t="n"/>
      <c r="K42" s="18" t="n"/>
      <c r="L42" s="18" t="n"/>
    </row>
    <row r="43" ht="18" customHeight="1">
      <c r="A43" s="15" t="n"/>
      <c r="B43" s="15" t="n"/>
      <c r="C43" s="15" t="n"/>
      <c r="D43" s="15" t="n"/>
      <c r="E43" s="15" t="n"/>
      <c r="F43" s="15" t="n"/>
      <c r="G43" s="15" t="n"/>
      <c r="H43" s="15" t="n"/>
      <c r="I43" s="17">
        <f>IFERROR(E43-G43,"")</f>
        <v/>
      </c>
      <c r="J43" s="15" t="n"/>
      <c r="K43" s="15" t="n"/>
      <c r="L43" s="15" t="n"/>
    </row>
    <row r="44" ht="18" customHeight="1">
      <c r="A44" s="18" t="n"/>
      <c r="B44" s="18" t="n"/>
      <c r="C44" s="18" t="n"/>
      <c r="D44" s="18" t="n"/>
      <c r="E44" s="18" t="n"/>
      <c r="F44" s="18" t="n"/>
      <c r="G44" s="18" t="n"/>
      <c r="H44" s="18" t="n"/>
      <c r="I44" s="20">
        <f>IFERROR(E44-G44,"")</f>
        <v/>
      </c>
      <c r="J44" s="18" t="n"/>
      <c r="K44" s="18" t="n"/>
      <c r="L44" s="18" t="n"/>
    </row>
    <row r="45" ht="18" customHeight="1">
      <c r="A45" s="15" t="n"/>
      <c r="B45" s="15" t="n"/>
      <c r="C45" s="15" t="n"/>
      <c r="D45" s="15" t="n"/>
      <c r="E45" s="15" t="n"/>
      <c r="F45" s="15" t="n"/>
      <c r="G45" s="15" t="n"/>
      <c r="H45" s="15" t="n"/>
      <c r="I45" s="17">
        <f>IFERROR(E45-G45,"")</f>
        <v/>
      </c>
      <c r="J45" s="15" t="n"/>
      <c r="K45" s="15" t="n"/>
      <c r="L45" s="15" t="n"/>
    </row>
    <row r="46" ht="18" customHeight="1">
      <c r="A46" s="18" t="n"/>
      <c r="B46" s="18" t="n"/>
      <c r="C46" s="18" t="n"/>
      <c r="D46" s="18" t="n"/>
      <c r="E46" s="18" t="n"/>
      <c r="F46" s="18" t="n"/>
      <c r="G46" s="18" t="n"/>
      <c r="H46" s="18" t="n"/>
      <c r="I46" s="20">
        <f>IFERROR(E46-G46,"")</f>
        <v/>
      </c>
      <c r="J46" s="18" t="n"/>
      <c r="K46" s="18" t="n"/>
      <c r="L46" s="18" t="n"/>
    </row>
    <row r="47" ht="18" customHeight="1">
      <c r="A47" s="15" t="n"/>
      <c r="B47" s="15" t="n"/>
      <c r="C47" s="15" t="n"/>
      <c r="D47" s="15" t="n"/>
      <c r="E47" s="15" t="n"/>
      <c r="F47" s="15" t="n"/>
      <c r="G47" s="15" t="n"/>
      <c r="H47" s="15" t="n"/>
      <c r="I47" s="17">
        <f>IFERROR(E47-G47,"")</f>
        <v/>
      </c>
      <c r="J47" s="15" t="n"/>
      <c r="K47" s="15" t="n"/>
      <c r="L47" s="15" t="n"/>
    </row>
    <row r="48" ht="18" customHeight="1">
      <c r="A48" s="18" t="n"/>
      <c r="B48" s="18" t="n"/>
      <c r="C48" s="18" t="n"/>
      <c r="D48" s="18" t="n"/>
      <c r="E48" s="18" t="n"/>
      <c r="F48" s="18" t="n"/>
      <c r="G48" s="18" t="n"/>
      <c r="H48" s="18" t="n"/>
      <c r="I48" s="20">
        <f>IFERROR(E48-G48,"")</f>
        <v/>
      </c>
      <c r="J48" s="18" t="n"/>
      <c r="K48" s="18" t="n"/>
      <c r="L48" s="18" t="n"/>
    </row>
    <row r="49" ht="18" customHeight="1">
      <c r="A49" s="15" t="n"/>
      <c r="B49" s="15" t="n"/>
      <c r="C49" s="15" t="n"/>
      <c r="D49" s="15" t="n"/>
      <c r="E49" s="15" t="n"/>
      <c r="F49" s="15" t="n"/>
      <c r="G49" s="15" t="n"/>
      <c r="H49" s="15" t="n"/>
      <c r="I49" s="17">
        <f>IFERROR(E49-G49,"")</f>
        <v/>
      </c>
      <c r="J49" s="15" t="n"/>
      <c r="K49" s="15" t="n"/>
      <c r="L49" s="15" t="n"/>
    </row>
    <row r="50" ht="18" customHeight="1">
      <c r="A50" s="18" t="n"/>
      <c r="B50" s="18" t="n"/>
      <c r="C50" s="18" t="n"/>
      <c r="D50" s="18" t="n"/>
      <c r="E50" s="18" t="n"/>
      <c r="F50" s="18" t="n"/>
      <c r="G50" s="18" t="n"/>
      <c r="H50" s="18" t="n"/>
      <c r="I50" s="20">
        <f>IFERROR(E50-G50,"")</f>
        <v/>
      </c>
      <c r="J50" s="18" t="n"/>
      <c r="K50" s="18" t="n"/>
      <c r="L50" s="18" t="n"/>
    </row>
    <row r="51" ht="18" customHeight="1">
      <c r="A51" s="15" t="n"/>
      <c r="B51" s="15" t="n"/>
      <c r="C51" s="15" t="n"/>
      <c r="D51" s="15" t="n"/>
      <c r="E51" s="15" t="n"/>
      <c r="F51" s="15" t="n"/>
      <c r="G51" s="15" t="n"/>
      <c r="H51" s="15" t="n"/>
      <c r="I51" s="17">
        <f>IFERROR(E51-G51,"")</f>
        <v/>
      </c>
      <c r="J51" s="15" t="n"/>
      <c r="K51" s="15" t="n"/>
      <c r="L51" s="15" t="n"/>
    </row>
    <row r="52" ht="18" customHeight="1">
      <c r="A52" s="18" t="n"/>
      <c r="B52" s="18" t="n"/>
      <c r="C52" s="18" t="n"/>
      <c r="D52" s="18" t="n"/>
      <c r="E52" s="18" t="n"/>
      <c r="F52" s="18" t="n"/>
      <c r="G52" s="18" t="n"/>
      <c r="H52" s="18" t="n"/>
      <c r="I52" s="20">
        <f>IFERROR(E52-G52,"")</f>
        <v/>
      </c>
      <c r="J52" s="18" t="n"/>
      <c r="K52" s="18" t="n"/>
      <c r="L52" s="18" t="n"/>
    </row>
    <row r="53" ht="18" customHeight="1">
      <c r="A53" s="15" t="n"/>
      <c r="B53" s="15" t="n"/>
      <c r="C53" s="15" t="n"/>
      <c r="D53" s="15" t="n"/>
      <c r="E53" s="15" t="n"/>
      <c r="F53" s="15" t="n"/>
      <c r="G53" s="15" t="n"/>
      <c r="H53" s="15" t="n"/>
      <c r="I53" s="17">
        <f>IFERROR(E53-G53,"")</f>
        <v/>
      </c>
      <c r="J53" s="15" t="n"/>
      <c r="K53" s="15" t="n"/>
      <c r="L53" s="15" t="n"/>
    </row>
    <row r="54" ht="18" customHeight="1">
      <c r="A54" s="18" t="n"/>
      <c r="B54" s="18" t="n"/>
      <c r="C54" s="18" t="n"/>
      <c r="D54" s="18" t="n"/>
      <c r="E54" s="18" t="n"/>
      <c r="F54" s="18" t="n"/>
      <c r="G54" s="18" t="n"/>
      <c r="H54" s="18" t="n"/>
      <c r="I54" s="20">
        <f>IFERROR(E54-G54,"")</f>
        <v/>
      </c>
      <c r="J54" s="18" t="n"/>
      <c r="K54" s="18" t="n"/>
      <c r="L54" s="18" t="n"/>
    </row>
    <row r="55" ht="18" customHeight="1">
      <c r="A55" s="15" t="n"/>
      <c r="B55" s="15" t="n"/>
      <c r="C55" s="15" t="n"/>
      <c r="D55" s="15" t="n"/>
      <c r="E55" s="15" t="n"/>
      <c r="F55" s="15" t="n"/>
      <c r="G55" s="15" t="n"/>
      <c r="H55" s="15" t="n"/>
      <c r="I55" s="17">
        <f>IFERROR(E55-G55,"")</f>
        <v/>
      </c>
      <c r="J55" s="15" t="n"/>
      <c r="K55" s="15" t="n"/>
      <c r="L55" s="15" t="n"/>
    </row>
    <row r="56" ht="18" customHeight="1">
      <c r="A56" s="18" t="n"/>
      <c r="B56" s="18" t="n"/>
      <c r="C56" s="18" t="n"/>
      <c r="D56" s="18" t="n"/>
      <c r="E56" s="18" t="n"/>
      <c r="F56" s="18" t="n"/>
      <c r="G56" s="18" t="n"/>
      <c r="H56" s="18" t="n"/>
      <c r="I56" s="20">
        <f>IFERROR(E56-G56,"")</f>
        <v/>
      </c>
      <c r="J56" s="18" t="n"/>
      <c r="K56" s="18" t="n"/>
      <c r="L56" s="18" t="n"/>
    </row>
    <row r="57" ht="18" customHeight="1">
      <c r="A57" s="15" t="n"/>
      <c r="B57" s="15" t="n"/>
      <c r="C57" s="15" t="n"/>
      <c r="D57" s="15" t="n"/>
      <c r="E57" s="15" t="n"/>
      <c r="F57" s="15" t="n"/>
      <c r="G57" s="15" t="n"/>
      <c r="H57" s="15" t="n"/>
      <c r="I57" s="17">
        <f>IFERROR(E57-G57,"")</f>
        <v/>
      </c>
      <c r="J57" s="15" t="n"/>
      <c r="K57" s="15" t="n"/>
      <c r="L57" s="15" t="n"/>
    </row>
    <row r="58" ht="18" customHeight="1">
      <c r="A58" s="18" t="n"/>
      <c r="B58" s="18" t="n"/>
      <c r="C58" s="18" t="n"/>
      <c r="D58" s="18" t="n"/>
      <c r="E58" s="18" t="n"/>
      <c r="F58" s="18" t="n"/>
      <c r="G58" s="18" t="n"/>
      <c r="H58" s="18" t="n"/>
      <c r="I58" s="20">
        <f>IFERROR(E58-G58,"")</f>
        <v/>
      </c>
      <c r="J58" s="18" t="n"/>
      <c r="K58" s="18" t="n"/>
      <c r="L58" s="18" t="n"/>
    </row>
    <row r="59" ht="18" customHeight="1">
      <c r="A59" s="15" t="n"/>
      <c r="B59" s="15" t="n"/>
      <c r="C59" s="15" t="n"/>
      <c r="D59" s="15" t="n"/>
      <c r="E59" s="15" t="n"/>
      <c r="F59" s="15" t="n"/>
      <c r="G59" s="15" t="n"/>
      <c r="H59" s="15" t="n"/>
      <c r="I59" s="17">
        <f>IFERROR(E59-G59,"")</f>
        <v/>
      </c>
      <c r="J59" s="15" t="n"/>
      <c r="K59" s="15" t="n"/>
      <c r="L59" s="15" t="n"/>
    </row>
    <row r="60" ht="18" customHeight="1">
      <c r="A60" s="18" t="n"/>
      <c r="B60" s="18" t="n"/>
      <c r="C60" s="18" t="n"/>
      <c r="D60" s="18" t="n"/>
      <c r="E60" s="18" t="n"/>
      <c r="F60" s="18" t="n"/>
      <c r="G60" s="18" t="n"/>
      <c r="H60" s="18" t="n"/>
      <c r="I60" s="20">
        <f>IFERROR(E60-G60,"")</f>
        <v/>
      </c>
      <c r="J60" s="18" t="n"/>
      <c r="K60" s="18" t="n"/>
      <c r="L60" s="18" t="n"/>
    </row>
    <row r="61" ht="18" customHeight="1">
      <c r="A61" s="15" t="n"/>
      <c r="B61" s="15" t="n"/>
      <c r="C61" s="15" t="n"/>
      <c r="D61" s="15" t="n"/>
      <c r="E61" s="15" t="n"/>
      <c r="F61" s="15" t="n"/>
      <c r="G61" s="15" t="n"/>
      <c r="H61" s="15" t="n"/>
      <c r="I61" s="17">
        <f>IFERROR(E61-G61,"")</f>
        <v/>
      </c>
      <c r="J61" s="15" t="n"/>
      <c r="K61" s="15" t="n"/>
      <c r="L61" s="15" t="n"/>
    </row>
    <row r="62" ht="18" customHeight="1">
      <c r="A62" s="18" t="n"/>
      <c r="B62" s="18" t="n"/>
      <c r="C62" s="18" t="n"/>
      <c r="D62" s="18" t="n"/>
      <c r="E62" s="18" t="n"/>
      <c r="F62" s="18" t="n"/>
      <c r="G62" s="18" t="n"/>
      <c r="H62" s="18" t="n"/>
      <c r="I62" s="20">
        <f>IFERROR(E62-G62,"")</f>
        <v/>
      </c>
      <c r="J62" s="18" t="n"/>
      <c r="K62" s="18" t="n"/>
      <c r="L62" s="18" t="n"/>
    </row>
    <row r="63" ht="18" customHeight="1">
      <c r="A63" s="15" t="n"/>
      <c r="B63" s="15" t="n"/>
      <c r="C63" s="15" t="n"/>
      <c r="D63" s="15" t="n"/>
      <c r="E63" s="15" t="n"/>
      <c r="F63" s="15" t="n"/>
      <c r="G63" s="15" t="n"/>
      <c r="H63" s="15" t="n"/>
      <c r="I63" s="17">
        <f>IFERROR(E63-G63,"")</f>
        <v/>
      </c>
      <c r="J63" s="15" t="n"/>
      <c r="K63" s="15" t="n"/>
      <c r="L63" s="15" t="n"/>
    </row>
    <row r="64" ht="18" customHeight="1">
      <c r="A64" s="18" t="n"/>
      <c r="B64" s="18" t="n"/>
      <c r="C64" s="18" t="n"/>
      <c r="D64" s="18" t="n"/>
      <c r="E64" s="18" t="n"/>
      <c r="F64" s="18" t="n"/>
      <c r="G64" s="18" t="n"/>
      <c r="H64" s="18" t="n"/>
      <c r="I64" s="20">
        <f>IFERROR(E64-G64,"")</f>
        <v/>
      </c>
      <c r="J64" s="18" t="n"/>
      <c r="K64" s="18" t="n"/>
      <c r="L64" s="18" t="n"/>
    </row>
    <row r="65" ht="18" customHeight="1">
      <c r="A65" s="15" t="n"/>
      <c r="B65" s="15" t="n"/>
      <c r="C65" s="15" t="n"/>
      <c r="D65" s="15" t="n"/>
      <c r="E65" s="15" t="n"/>
      <c r="F65" s="15" t="n"/>
      <c r="G65" s="15" t="n"/>
      <c r="H65" s="15" t="n"/>
      <c r="I65" s="17">
        <f>IFERROR(E65-G65,"")</f>
        <v/>
      </c>
      <c r="J65" s="15" t="n"/>
      <c r="K65" s="15" t="n"/>
      <c r="L65" s="15" t="n"/>
    </row>
    <row r="66" ht="18" customHeight="1">
      <c r="A66" s="18" t="n"/>
      <c r="B66" s="18" t="n"/>
      <c r="C66" s="18" t="n"/>
      <c r="D66" s="18" t="n"/>
      <c r="E66" s="18" t="n"/>
      <c r="F66" s="18" t="n"/>
      <c r="G66" s="18" t="n"/>
      <c r="H66" s="18" t="n"/>
      <c r="I66" s="20">
        <f>IFERROR(E66-G66,"")</f>
        <v/>
      </c>
      <c r="J66" s="18" t="n"/>
      <c r="K66" s="18" t="n"/>
      <c r="L66" s="18" t="n"/>
    </row>
    <row r="67" ht="18" customHeight="1">
      <c r="A67" s="15" t="n"/>
      <c r="B67" s="15" t="n"/>
      <c r="C67" s="15" t="n"/>
      <c r="D67" s="15" t="n"/>
      <c r="E67" s="15" t="n"/>
      <c r="F67" s="15" t="n"/>
      <c r="G67" s="15" t="n"/>
      <c r="H67" s="15" t="n"/>
      <c r="I67" s="17">
        <f>IFERROR(E67-G67,"")</f>
        <v/>
      </c>
      <c r="J67" s="15" t="n"/>
      <c r="K67" s="15" t="n"/>
      <c r="L67" s="15" t="n"/>
    </row>
    <row r="68" ht="18" customHeight="1">
      <c r="A68" s="18" t="n"/>
      <c r="B68" s="18" t="n"/>
      <c r="C68" s="18" t="n"/>
      <c r="D68" s="18" t="n"/>
      <c r="E68" s="18" t="n"/>
      <c r="F68" s="18" t="n"/>
      <c r="G68" s="18" t="n"/>
      <c r="H68" s="18" t="n"/>
      <c r="I68" s="20">
        <f>IFERROR(E68-G68,"")</f>
        <v/>
      </c>
      <c r="J68" s="18" t="n"/>
      <c r="K68" s="18" t="n"/>
      <c r="L68" s="18" t="n"/>
    </row>
    <row r="69" ht="18" customHeight="1">
      <c r="A69" s="15" t="n"/>
      <c r="B69" s="15" t="n"/>
      <c r="C69" s="15" t="n"/>
      <c r="D69" s="15" t="n"/>
      <c r="E69" s="15" t="n"/>
      <c r="F69" s="15" t="n"/>
      <c r="G69" s="15" t="n"/>
      <c r="H69" s="15" t="n"/>
      <c r="I69" s="17">
        <f>IFERROR(E69-G69,"")</f>
        <v/>
      </c>
      <c r="J69" s="15" t="n"/>
      <c r="K69" s="15" t="n"/>
      <c r="L69" s="15" t="n"/>
    </row>
    <row r="70" ht="18" customHeight="1">
      <c r="A70" s="18" t="n"/>
      <c r="B70" s="18" t="n"/>
      <c r="C70" s="18" t="n"/>
      <c r="D70" s="18" t="n"/>
      <c r="E70" s="18" t="n"/>
      <c r="F70" s="18" t="n"/>
      <c r="G70" s="18" t="n"/>
      <c r="H70" s="18" t="n"/>
      <c r="I70" s="20">
        <f>IFERROR(E70-G70,"")</f>
        <v/>
      </c>
      <c r="J70" s="18" t="n"/>
      <c r="K70" s="18" t="n"/>
      <c r="L70" s="18" t="n"/>
    </row>
    <row r="71" ht="18" customHeight="1">
      <c r="A71" s="15" t="n"/>
      <c r="B71" s="15" t="n"/>
      <c r="C71" s="15" t="n"/>
      <c r="D71" s="15" t="n"/>
      <c r="E71" s="15" t="n"/>
      <c r="F71" s="15" t="n"/>
      <c r="G71" s="15" t="n"/>
      <c r="H71" s="15" t="n"/>
      <c r="I71" s="17">
        <f>IFERROR(E71-G71,"")</f>
        <v/>
      </c>
      <c r="J71" s="15" t="n"/>
      <c r="K71" s="15" t="n"/>
      <c r="L71" s="15" t="n"/>
    </row>
    <row r="72" ht="18" customHeight="1">
      <c r="A72" s="18" t="n"/>
      <c r="B72" s="18" t="n"/>
      <c r="C72" s="18" t="n"/>
      <c r="D72" s="18" t="n"/>
      <c r="E72" s="18" t="n"/>
      <c r="F72" s="18" t="n"/>
      <c r="G72" s="18" t="n"/>
      <c r="H72" s="18" t="n"/>
      <c r="I72" s="20">
        <f>IFERROR(E72-G72,"")</f>
        <v/>
      </c>
      <c r="J72" s="18" t="n"/>
      <c r="K72" s="18" t="n"/>
      <c r="L72" s="18" t="n"/>
    </row>
    <row r="73" ht="18" customHeight="1">
      <c r="A73" s="15" t="n"/>
      <c r="B73" s="15" t="n"/>
      <c r="C73" s="15" t="n"/>
      <c r="D73" s="15" t="n"/>
      <c r="E73" s="15" t="n"/>
      <c r="F73" s="15" t="n"/>
      <c r="G73" s="15" t="n"/>
      <c r="H73" s="15" t="n"/>
      <c r="I73" s="17">
        <f>IFERROR(E73-G73,"")</f>
        <v/>
      </c>
      <c r="J73" s="15" t="n"/>
      <c r="K73" s="15" t="n"/>
      <c r="L73" s="15" t="n"/>
    </row>
    <row r="74" ht="18" customHeight="1">
      <c r="A74" s="18" t="n"/>
      <c r="B74" s="18" t="n"/>
      <c r="C74" s="18" t="n"/>
      <c r="D74" s="18" t="n"/>
      <c r="E74" s="18" t="n"/>
      <c r="F74" s="18" t="n"/>
      <c r="G74" s="18" t="n"/>
      <c r="H74" s="18" t="n"/>
      <c r="I74" s="20">
        <f>IFERROR(E74-G74,"")</f>
        <v/>
      </c>
      <c r="J74" s="18" t="n"/>
      <c r="K74" s="18" t="n"/>
      <c r="L74" s="18" t="n"/>
    </row>
    <row r="75" ht="18" customHeight="1">
      <c r="A75" s="15" t="n"/>
      <c r="B75" s="15" t="n"/>
      <c r="C75" s="15" t="n"/>
      <c r="D75" s="15" t="n"/>
      <c r="E75" s="15" t="n"/>
      <c r="F75" s="15" t="n"/>
      <c r="G75" s="15" t="n"/>
      <c r="H75" s="15" t="n"/>
      <c r="I75" s="17">
        <f>IFERROR(E75-G75,"")</f>
        <v/>
      </c>
      <c r="J75" s="15" t="n"/>
      <c r="K75" s="15" t="n"/>
      <c r="L75" s="15" t="n"/>
    </row>
    <row r="76" ht="18" customHeight="1">
      <c r="A76" s="18" t="n"/>
      <c r="B76" s="18" t="n"/>
      <c r="C76" s="18" t="n"/>
      <c r="D76" s="18" t="n"/>
      <c r="E76" s="18" t="n"/>
      <c r="F76" s="18" t="n"/>
      <c r="G76" s="18" t="n"/>
      <c r="H76" s="18" t="n"/>
      <c r="I76" s="20">
        <f>IFERROR(E76-G76,"")</f>
        <v/>
      </c>
      <c r="J76" s="18" t="n"/>
      <c r="K76" s="18" t="n"/>
      <c r="L76" s="18" t="n"/>
    </row>
    <row r="77" ht="18" customHeight="1">
      <c r="A77" s="15" t="n"/>
      <c r="B77" s="15" t="n"/>
      <c r="C77" s="15" t="n"/>
      <c r="D77" s="15" t="n"/>
      <c r="E77" s="15" t="n"/>
      <c r="F77" s="15" t="n"/>
      <c r="G77" s="15" t="n"/>
      <c r="H77" s="15" t="n"/>
      <c r="I77" s="17">
        <f>IFERROR(E77-G77,"")</f>
        <v/>
      </c>
      <c r="J77" s="15" t="n"/>
      <c r="K77" s="15" t="n"/>
      <c r="L77" s="15" t="n"/>
    </row>
    <row r="78" ht="18" customHeight="1">
      <c r="A78" s="18" t="n"/>
      <c r="B78" s="18" t="n"/>
      <c r="C78" s="18" t="n"/>
      <c r="D78" s="18" t="n"/>
      <c r="E78" s="18" t="n"/>
      <c r="F78" s="18" t="n"/>
      <c r="G78" s="18" t="n"/>
      <c r="H78" s="18" t="n"/>
      <c r="I78" s="20">
        <f>IFERROR(E78-G78,"")</f>
        <v/>
      </c>
      <c r="J78" s="18" t="n"/>
      <c r="K78" s="18" t="n"/>
      <c r="L78" s="18" t="n"/>
    </row>
    <row r="79" ht="18" customHeight="1">
      <c r="A79" s="15" t="n"/>
      <c r="B79" s="15" t="n"/>
      <c r="C79" s="15" t="n"/>
      <c r="D79" s="15" t="n"/>
      <c r="E79" s="15" t="n"/>
      <c r="F79" s="15" t="n"/>
      <c r="G79" s="15" t="n"/>
      <c r="H79" s="15" t="n"/>
      <c r="I79" s="17">
        <f>IFERROR(E79-G79,"")</f>
        <v/>
      </c>
      <c r="J79" s="15" t="n"/>
      <c r="K79" s="15" t="n"/>
      <c r="L79" s="15" t="n"/>
    </row>
    <row r="80" ht="18" customHeight="1">
      <c r="A80" s="18" t="n"/>
      <c r="B80" s="18" t="n"/>
      <c r="C80" s="18" t="n"/>
      <c r="D80" s="18" t="n"/>
      <c r="E80" s="18" t="n"/>
      <c r="F80" s="18" t="n"/>
      <c r="G80" s="18" t="n"/>
      <c r="H80" s="18" t="n"/>
      <c r="I80" s="20">
        <f>IFERROR(E80-G80,"")</f>
        <v/>
      </c>
      <c r="J80" s="18" t="n"/>
      <c r="K80" s="18" t="n"/>
      <c r="L80" s="18" t="n"/>
    </row>
    <row r="81" ht="18" customHeight="1">
      <c r="A81" s="15" t="n"/>
      <c r="B81" s="15" t="n"/>
      <c r="C81" s="15" t="n"/>
      <c r="D81" s="15" t="n"/>
      <c r="E81" s="15" t="n"/>
      <c r="F81" s="15" t="n"/>
      <c r="G81" s="15" t="n"/>
      <c r="H81" s="15" t="n"/>
      <c r="I81" s="17">
        <f>IFERROR(E81-G81,"")</f>
        <v/>
      </c>
      <c r="J81" s="15" t="n"/>
      <c r="K81" s="15" t="n"/>
      <c r="L81" s="15" t="n"/>
    </row>
    <row r="82" ht="18" customHeight="1">
      <c r="A82" s="18" t="n"/>
      <c r="B82" s="18" t="n"/>
      <c r="C82" s="18" t="n"/>
      <c r="D82" s="18" t="n"/>
      <c r="E82" s="18" t="n"/>
      <c r="F82" s="18" t="n"/>
      <c r="G82" s="18" t="n"/>
      <c r="H82" s="18" t="n"/>
      <c r="I82" s="20">
        <f>IFERROR(E82-G82,"")</f>
        <v/>
      </c>
      <c r="J82" s="18" t="n"/>
      <c r="K82" s="18" t="n"/>
      <c r="L82" s="18" t="n"/>
    </row>
    <row r="83" ht="18" customHeight="1">
      <c r="A83" s="15" t="n"/>
      <c r="B83" s="15" t="n"/>
      <c r="C83" s="15" t="n"/>
      <c r="D83" s="15" t="n"/>
      <c r="E83" s="15" t="n"/>
      <c r="F83" s="15" t="n"/>
      <c r="G83" s="15" t="n"/>
      <c r="H83" s="15" t="n"/>
      <c r="I83" s="17">
        <f>IFERROR(E83-G83,"")</f>
        <v/>
      </c>
      <c r="J83" s="15" t="n"/>
      <c r="K83" s="15" t="n"/>
      <c r="L83" s="15" t="n"/>
    </row>
    <row r="84" ht="18" customHeight="1">
      <c r="A84" s="18" t="n"/>
      <c r="B84" s="18" t="n"/>
      <c r="C84" s="18" t="n"/>
      <c r="D84" s="18" t="n"/>
      <c r="E84" s="18" t="n"/>
      <c r="F84" s="18" t="n"/>
      <c r="G84" s="18" t="n"/>
      <c r="H84" s="18" t="n"/>
      <c r="I84" s="20">
        <f>IFERROR(E84-G84,"")</f>
        <v/>
      </c>
      <c r="J84" s="18" t="n"/>
      <c r="K84" s="18" t="n"/>
      <c r="L84" s="18" t="n"/>
    </row>
    <row r="85" ht="18" customHeight="1">
      <c r="A85" s="15" t="n"/>
      <c r="B85" s="15" t="n"/>
      <c r="C85" s="15" t="n"/>
      <c r="D85" s="15" t="n"/>
      <c r="E85" s="15" t="n"/>
      <c r="F85" s="15" t="n"/>
      <c r="G85" s="15" t="n"/>
      <c r="H85" s="15" t="n"/>
      <c r="I85" s="17">
        <f>IFERROR(E85-G85,"")</f>
        <v/>
      </c>
      <c r="J85" s="15" t="n"/>
      <c r="K85" s="15" t="n"/>
      <c r="L85" s="15" t="n"/>
    </row>
    <row r="86" ht="18" customHeight="1">
      <c r="A86" s="18" t="n"/>
      <c r="B86" s="18" t="n"/>
      <c r="C86" s="18" t="n"/>
      <c r="D86" s="18" t="n"/>
      <c r="E86" s="18" t="n"/>
      <c r="F86" s="18" t="n"/>
      <c r="G86" s="18" t="n"/>
      <c r="H86" s="18" t="n"/>
      <c r="I86" s="20">
        <f>IFERROR(E86-G86,"")</f>
        <v/>
      </c>
      <c r="J86" s="18" t="n"/>
      <c r="K86" s="18" t="n"/>
      <c r="L86" s="18" t="n"/>
    </row>
    <row r="87" ht="18" customHeight="1">
      <c r="A87" s="15" t="n"/>
      <c r="B87" s="15" t="n"/>
      <c r="C87" s="15" t="n"/>
      <c r="D87" s="15" t="n"/>
      <c r="E87" s="15" t="n"/>
      <c r="F87" s="15" t="n"/>
      <c r="G87" s="15" t="n"/>
      <c r="H87" s="15" t="n"/>
      <c r="I87" s="17">
        <f>IFERROR(E87-G87,"")</f>
        <v/>
      </c>
      <c r="J87" s="15" t="n"/>
      <c r="K87" s="15" t="n"/>
      <c r="L87" s="15" t="n"/>
    </row>
    <row r="88" ht="18" customHeight="1">
      <c r="A88" s="18" t="n"/>
      <c r="B88" s="18" t="n"/>
      <c r="C88" s="18" t="n"/>
      <c r="D88" s="18" t="n"/>
      <c r="E88" s="18" t="n"/>
      <c r="F88" s="18" t="n"/>
      <c r="G88" s="18" t="n"/>
      <c r="H88" s="18" t="n"/>
      <c r="I88" s="20">
        <f>IFERROR(E88-G88,"")</f>
        <v/>
      </c>
      <c r="J88" s="18" t="n"/>
      <c r="K88" s="18" t="n"/>
      <c r="L88" s="18" t="n"/>
    </row>
    <row r="89" ht="18" customHeight="1">
      <c r="A89" s="15" t="n"/>
      <c r="B89" s="15" t="n"/>
      <c r="C89" s="15" t="n"/>
      <c r="D89" s="15" t="n"/>
      <c r="E89" s="15" t="n"/>
      <c r="F89" s="15" t="n"/>
      <c r="G89" s="15" t="n"/>
      <c r="H89" s="15" t="n"/>
      <c r="I89" s="17">
        <f>IFERROR(E89-G89,"")</f>
        <v/>
      </c>
      <c r="J89" s="15" t="n"/>
      <c r="K89" s="15" t="n"/>
      <c r="L89" s="15" t="n"/>
    </row>
    <row r="90" ht="18" customHeight="1">
      <c r="A90" s="18" t="n"/>
      <c r="B90" s="18" t="n"/>
      <c r="C90" s="18" t="n"/>
      <c r="D90" s="18" t="n"/>
      <c r="E90" s="18" t="n"/>
      <c r="F90" s="18" t="n"/>
      <c r="G90" s="18" t="n"/>
      <c r="H90" s="18" t="n"/>
      <c r="I90" s="20">
        <f>IFERROR(E90-G90,"")</f>
        <v/>
      </c>
      <c r="J90" s="18" t="n"/>
      <c r="K90" s="18" t="n"/>
      <c r="L90" s="18" t="n"/>
    </row>
    <row r="91" ht="18" customHeight="1">
      <c r="A91" s="15" t="n"/>
      <c r="B91" s="15" t="n"/>
      <c r="C91" s="15" t="n"/>
      <c r="D91" s="15" t="n"/>
      <c r="E91" s="15" t="n"/>
      <c r="F91" s="15" t="n"/>
      <c r="G91" s="15" t="n"/>
      <c r="H91" s="15" t="n"/>
      <c r="I91" s="17">
        <f>IFERROR(E91-G91,"")</f>
        <v/>
      </c>
      <c r="J91" s="15" t="n"/>
      <c r="K91" s="15" t="n"/>
      <c r="L91" s="15" t="n"/>
    </row>
    <row r="92" ht="18" customHeight="1">
      <c r="A92" s="18" t="n"/>
      <c r="B92" s="18" t="n"/>
      <c r="C92" s="18" t="n"/>
      <c r="D92" s="18" t="n"/>
      <c r="E92" s="18" t="n"/>
      <c r="F92" s="18" t="n"/>
      <c r="G92" s="18" t="n"/>
      <c r="H92" s="18" t="n"/>
      <c r="I92" s="20">
        <f>IFERROR(E92-G92,"")</f>
        <v/>
      </c>
      <c r="J92" s="18" t="n"/>
      <c r="K92" s="18" t="n"/>
      <c r="L92" s="18" t="n"/>
    </row>
    <row r="93" ht="18" customHeight="1">
      <c r="A93" s="15" t="n"/>
      <c r="B93" s="15" t="n"/>
      <c r="C93" s="15" t="n"/>
      <c r="D93" s="15" t="n"/>
      <c r="E93" s="15" t="n"/>
      <c r="F93" s="15" t="n"/>
      <c r="G93" s="15" t="n"/>
      <c r="H93" s="15" t="n"/>
      <c r="I93" s="17">
        <f>IFERROR(E93-G93,"")</f>
        <v/>
      </c>
      <c r="J93" s="15" t="n"/>
      <c r="K93" s="15" t="n"/>
      <c r="L93" s="15" t="n"/>
    </row>
    <row r="94" ht="18" customHeight="1">
      <c r="A94" s="18" t="n"/>
      <c r="B94" s="18" t="n"/>
      <c r="C94" s="18" t="n"/>
      <c r="D94" s="18" t="n"/>
      <c r="E94" s="18" t="n"/>
      <c r="F94" s="18" t="n"/>
      <c r="G94" s="18" t="n"/>
      <c r="H94" s="18" t="n"/>
      <c r="I94" s="20">
        <f>IFERROR(E94-G94,"")</f>
        <v/>
      </c>
      <c r="J94" s="18" t="n"/>
      <c r="K94" s="18" t="n"/>
      <c r="L94" s="18" t="n"/>
    </row>
    <row r="95" ht="18" customHeight="1">
      <c r="A95" s="15" t="n"/>
      <c r="B95" s="15" t="n"/>
      <c r="C95" s="15" t="n"/>
      <c r="D95" s="15" t="n"/>
      <c r="E95" s="15" t="n"/>
      <c r="F95" s="15" t="n"/>
      <c r="G95" s="15" t="n"/>
      <c r="H95" s="15" t="n"/>
      <c r="I95" s="17">
        <f>IFERROR(E95-G95,"")</f>
        <v/>
      </c>
      <c r="J95" s="15" t="n"/>
      <c r="K95" s="15" t="n"/>
      <c r="L95" s="15" t="n"/>
    </row>
    <row r="96" ht="18" customHeight="1">
      <c r="A96" s="18" t="n"/>
      <c r="B96" s="18" t="n"/>
      <c r="C96" s="18" t="n"/>
      <c r="D96" s="18" t="n"/>
      <c r="E96" s="18" t="n"/>
      <c r="F96" s="18" t="n"/>
      <c r="G96" s="18" t="n"/>
      <c r="H96" s="18" t="n"/>
      <c r="I96" s="20">
        <f>IFERROR(E96-G96,"")</f>
        <v/>
      </c>
      <c r="J96" s="18" t="n"/>
      <c r="K96" s="18" t="n"/>
      <c r="L96" s="18" t="n"/>
    </row>
    <row r="97" ht="18" customHeight="1">
      <c r="A97" s="15" t="n"/>
      <c r="B97" s="15" t="n"/>
      <c r="C97" s="15" t="n"/>
      <c r="D97" s="15" t="n"/>
      <c r="E97" s="15" t="n"/>
      <c r="F97" s="15" t="n"/>
      <c r="G97" s="15" t="n"/>
      <c r="H97" s="15" t="n"/>
      <c r="I97" s="17">
        <f>IFERROR(E97-G97,"")</f>
        <v/>
      </c>
      <c r="J97" s="15" t="n"/>
      <c r="K97" s="15" t="n"/>
      <c r="L97" s="15" t="n"/>
    </row>
    <row r="98" ht="18" customHeight="1">
      <c r="A98" s="18" t="n"/>
      <c r="B98" s="18" t="n"/>
      <c r="C98" s="18" t="n"/>
      <c r="D98" s="18" t="n"/>
      <c r="E98" s="18" t="n"/>
      <c r="F98" s="18" t="n"/>
      <c r="G98" s="18" t="n"/>
      <c r="H98" s="18" t="n"/>
      <c r="I98" s="20">
        <f>IFERROR(E98-G98,"")</f>
        <v/>
      </c>
      <c r="J98" s="18" t="n"/>
      <c r="K98" s="18" t="n"/>
      <c r="L98" s="18" t="n"/>
    </row>
    <row r="99" ht="18" customHeight="1">
      <c r="A99" s="15" t="n"/>
      <c r="B99" s="15" t="n"/>
      <c r="C99" s="15" t="n"/>
      <c r="D99" s="15" t="n"/>
      <c r="E99" s="15" t="n"/>
      <c r="F99" s="15" t="n"/>
      <c r="G99" s="15" t="n"/>
      <c r="H99" s="15" t="n"/>
      <c r="I99" s="17">
        <f>IFERROR(E99-G99,"")</f>
        <v/>
      </c>
      <c r="J99" s="15" t="n"/>
      <c r="K99" s="15" t="n"/>
      <c r="L99" s="15" t="n"/>
    </row>
    <row r="100" ht="18" customHeight="1">
      <c r="A100" s="18" t="n"/>
      <c r="B100" s="18" t="n"/>
      <c r="C100" s="18" t="n"/>
      <c r="D100" s="18" t="n"/>
      <c r="E100" s="18" t="n"/>
      <c r="F100" s="18" t="n"/>
      <c r="G100" s="18" t="n"/>
      <c r="H100" s="18" t="n"/>
      <c r="I100" s="20">
        <f>IFERROR(E100-G100,"")</f>
        <v/>
      </c>
      <c r="J100" s="18" t="n"/>
      <c r="K100" s="18" t="n"/>
      <c r="L100" s="18" t="n"/>
    </row>
    <row r="101" ht="18" customHeight="1">
      <c r="A101" s="15" t="n"/>
      <c r="B101" s="15" t="n"/>
      <c r="C101" s="15" t="n"/>
      <c r="D101" s="15" t="n"/>
      <c r="E101" s="15" t="n"/>
      <c r="F101" s="15" t="n"/>
      <c r="G101" s="15" t="n"/>
      <c r="H101" s="15" t="n"/>
      <c r="I101" s="17">
        <f>IFERROR(E101-G101,"")</f>
        <v/>
      </c>
      <c r="J101" s="15" t="n"/>
      <c r="K101" s="15" t="n"/>
      <c r="L101" s="15" t="n"/>
    </row>
    <row r="102" ht="18" customHeight="1">
      <c r="A102" s="18" t="n"/>
      <c r="B102" s="18" t="n"/>
      <c r="C102" s="18" t="n"/>
      <c r="D102" s="18" t="n"/>
      <c r="E102" s="18" t="n"/>
      <c r="F102" s="18" t="n"/>
      <c r="G102" s="18" t="n"/>
      <c r="H102" s="18" t="n"/>
      <c r="I102" s="20">
        <f>IFERROR(E102-G102,"")</f>
        <v/>
      </c>
      <c r="J102" s="18" t="n"/>
      <c r="K102" s="18" t="n"/>
      <c r="L102" s="18" t="n"/>
    </row>
    <row r="103" ht="18" customHeight="1">
      <c r="A103" s="15" t="n"/>
      <c r="B103" s="15" t="n"/>
      <c r="C103" s="15" t="n"/>
      <c r="D103" s="15" t="n"/>
      <c r="E103" s="15" t="n"/>
      <c r="F103" s="15" t="n"/>
      <c r="G103" s="15" t="n"/>
      <c r="H103" s="15" t="n"/>
      <c r="I103" s="17">
        <f>IFERROR(E103-G103,"")</f>
        <v/>
      </c>
      <c r="J103" s="15" t="n"/>
      <c r="K103" s="15" t="n"/>
      <c r="L103" s="15" t="n"/>
    </row>
    <row r="104" ht="18" customHeight="1">
      <c r="A104" s="18" t="n"/>
      <c r="B104" s="18" t="n"/>
      <c r="C104" s="18" t="n"/>
      <c r="D104" s="18" t="n"/>
      <c r="E104" s="18" t="n"/>
      <c r="F104" s="18" t="n"/>
      <c r="G104" s="18" t="n"/>
      <c r="H104" s="18" t="n"/>
      <c r="I104" s="20">
        <f>IFERROR(E104-G104,"")</f>
        <v/>
      </c>
      <c r="J104" s="18" t="n"/>
      <c r="K104" s="18" t="n"/>
      <c r="L104" s="18" t="n"/>
    </row>
    <row r="105" ht="18" customHeight="1">
      <c r="A105" s="15" t="n"/>
      <c r="B105" s="15" t="n"/>
      <c r="C105" s="15" t="n"/>
      <c r="D105" s="15" t="n"/>
      <c r="E105" s="15" t="n"/>
      <c r="F105" s="15" t="n"/>
      <c r="G105" s="15" t="n"/>
      <c r="H105" s="15" t="n"/>
      <c r="I105" s="17">
        <f>IFERROR(E105-G105,"")</f>
        <v/>
      </c>
      <c r="J105" s="15" t="n"/>
      <c r="K105" s="15" t="n"/>
      <c r="L105" s="15" t="n"/>
    </row>
    <row r="106" ht="18" customHeight="1">
      <c r="A106" s="18" t="n"/>
      <c r="B106" s="18" t="n"/>
      <c r="C106" s="18" t="n"/>
      <c r="D106" s="18" t="n"/>
      <c r="E106" s="18" t="n"/>
      <c r="F106" s="18" t="n"/>
      <c r="G106" s="18" t="n"/>
      <c r="H106" s="18" t="n"/>
      <c r="I106" s="20">
        <f>IFERROR(E106-G106,"")</f>
        <v/>
      </c>
      <c r="J106" s="18" t="n"/>
      <c r="K106" s="18" t="n"/>
      <c r="L106" s="18" t="n"/>
    </row>
    <row r="107" ht="18" customHeight="1">
      <c r="A107" s="15" t="n"/>
      <c r="B107" s="15" t="n"/>
      <c r="C107" s="15" t="n"/>
      <c r="D107" s="15" t="n"/>
      <c r="E107" s="15" t="n"/>
      <c r="F107" s="15" t="n"/>
      <c r="G107" s="15" t="n"/>
      <c r="H107" s="15" t="n"/>
      <c r="I107" s="17">
        <f>IFERROR(E107-G107,"")</f>
        <v/>
      </c>
      <c r="J107" s="15" t="n"/>
      <c r="K107" s="15" t="n"/>
      <c r="L107" s="15" t="n"/>
    </row>
    <row r="108" ht="18" customHeight="1">
      <c r="A108" s="18" t="n"/>
      <c r="B108" s="18" t="n"/>
      <c r="C108" s="18" t="n"/>
      <c r="D108" s="18" t="n"/>
      <c r="E108" s="18" t="n"/>
      <c r="F108" s="18" t="n"/>
      <c r="G108" s="18" t="n"/>
      <c r="H108" s="18" t="n"/>
      <c r="I108" s="20">
        <f>IFERROR(E108-G108,"")</f>
        <v/>
      </c>
      <c r="J108" s="18" t="n"/>
      <c r="K108" s="18" t="n"/>
      <c r="L108" s="18" t="n"/>
    </row>
    <row r="109" ht="18" customHeight="1">
      <c r="A109" s="15" t="n"/>
      <c r="B109" s="15" t="n"/>
      <c r="C109" s="15" t="n"/>
      <c r="D109" s="15" t="n"/>
      <c r="E109" s="15" t="n"/>
      <c r="F109" s="15" t="n"/>
      <c r="G109" s="15" t="n"/>
      <c r="H109" s="15" t="n"/>
      <c r="I109" s="17">
        <f>IFERROR(E109-G109,"")</f>
        <v/>
      </c>
      <c r="J109" s="15" t="n"/>
      <c r="K109" s="15" t="n"/>
      <c r="L109" s="15" t="n"/>
    </row>
    <row r="110" ht="18" customHeight="1">
      <c r="A110" s="18" t="n"/>
      <c r="B110" s="18" t="n"/>
      <c r="C110" s="18" t="n"/>
      <c r="D110" s="18" t="n"/>
      <c r="E110" s="18" t="n"/>
      <c r="F110" s="18" t="n"/>
      <c r="G110" s="18" t="n"/>
      <c r="H110" s="18" t="n"/>
      <c r="I110" s="20">
        <f>IFERROR(E110-G110,"")</f>
        <v/>
      </c>
      <c r="J110" s="18" t="n"/>
      <c r="K110" s="18" t="n"/>
      <c r="L110" s="18" t="n"/>
    </row>
    <row r="111" ht="18" customHeight="1">
      <c r="A111" s="15" t="n"/>
      <c r="B111" s="15" t="n"/>
      <c r="C111" s="15" t="n"/>
      <c r="D111" s="15" t="n"/>
      <c r="E111" s="15" t="n"/>
      <c r="F111" s="15" t="n"/>
      <c r="G111" s="15" t="n"/>
      <c r="H111" s="15" t="n"/>
      <c r="I111" s="17">
        <f>IFERROR(E111-G111,"")</f>
        <v/>
      </c>
      <c r="J111" s="15" t="n"/>
      <c r="K111" s="15" t="n"/>
      <c r="L111" s="15" t="n"/>
    </row>
    <row r="112" ht="18" customHeight="1">
      <c r="A112" s="18" t="n"/>
      <c r="B112" s="18" t="n"/>
      <c r="C112" s="18" t="n"/>
      <c r="D112" s="18" t="n"/>
      <c r="E112" s="18" t="n"/>
      <c r="F112" s="18" t="n"/>
      <c r="G112" s="18" t="n"/>
      <c r="H112" s="18" t="n"/>
      <c r="I112" s="20">
        <f>IFERROR(E112-G112,"")</f>
        <v/>
      </c>
      <c r="J112" s="18" t="n"/>
      <c r="K112" s="18" t="n"/>
      <c r="L112" s="18" t="n"/>
    </row>
    <row r="113" ht="18" customHeight="1">
      <c r="A113" s="15" t="n"/>
      <c r="B113" s="15" t="n"/>
      <c r="C113" s="15" t="n"/>
      <c r="D113" s="15" t="n"/>
      <c r="E113" s="15" t="n"/>
      <c r="F113" s="15" t="n"/>
      <c r="G113" s="15" t="n"/>
      <c r="H113" s="15" t="n"/>
      <c r="I113" s="17">
        <f>IFERROR(E113-G113,"")</f>
        <v/>
      </c>
      <c r="J113" s="15" t="n"/>
      <c r="K113" s="15" t="n"/>
      <c r="L113" s="15" t="n"/>
    </row>
    <row r="114" ht="18" customHeight="1">
      <c r="A114" s="18" t="n"/>
      <c r="B114" s="18" t="n"/>
      <c r="C114" s="18" t="n"/>
      <c r="D114" s="18" t="n"/>
      <c r="E114" s="18" t="n"/>
      <c r="F114" s="18" t="n"/>
      <c r="G114" s="18" t="n"/>
      <c r="H114" s="18" t="n"/>
      <c r="I114" s="20">
        <f>IFERROR(E114-G114,"")</f>
        <v/>
      </c>
      <c r="J114" s="18" t="n"/>
      <c r="K114" s="18" t="n"/>
      <c r="L114" s="18" t="n"/>
    </row>
    <row r="115" ht="18" customHeight="1">
      <c r="A115" s="15" t="n"/>
      <c r="B115" s="15" t="n"/>
      <c r="C115" s="15" t="n"/>
      <c r="D115" s="15" t="n"/>
      <c r="E115" s="15" t="n"/>
      <c r="F115" s="15" t="n"/>
      <c r="G115" s="15" t="n"/>
      <c r="H115" s="15" t="n"/>
      <c r="I115" s="17">
        <f>IFERROR(E115-G115,"")</f>
        <v/>
      </c>
      <c r="J115" s="15" t="n"/>
      <c r="K115" s="15" t="n"/>
      <c r="L115" s="15" t="n"/>
    </row>
    <row r="116" ht="18" customHeight="1">
      <c r="A116" s="18" t="n"/>
      <c r="B116" s="18" t="n"/>
      <c r="C116" s="18" t="n"/>
      <c r="D116" s="18" t="n"/>
      <c r="E116" s="18" t="n"/>
      <c r="F116" s="18" t="n"/>
      <c r="G116" s="18" t="n"/>
      <c r="H116" s="18" t="n"/>
      <c r="I116" s="20">
        <f>IFERROR(E116-G116,"")</f>
        <v/>
      </c>
      <c r="J116" s="18" t="n"/>
      <c r="K116" s="18" t="n"/>
      <c r="L116" s="18" t="n"/>
    </row>
    <row r="117" ht="18" customHeight="1">
      <c r="A117" s="15" t="n"/>
      <c r="B117" s="15" t="n"/>
      <c r="C117" s="15" t="n"/>
      <c r="D117" s="15" t="n"/>
      <c r="E117" s="15" t="n"/>
      <c r="F117" s="15" t="n"/>
      <c r="G117" s="15" t="n"/>
      <c r="H117" s="15" t="n"/>
      <c r="I117" s="17">
        <f>IFERROR(E117-G117,"")</f>
        <v/>
      </c>
      <c r="J117" s="15" t="n"/>
      <c r="K117" s="15" t="n"/>
      <c r="L117" s="15" t="n"/>
    </row>
    <row r="118" ht="18" customHeight="1">
      <c r="A118" s="18" t="n"/>
      <c r="B118" s="18" t="n"/>
      <c r="C118" s="18" t="n"/>
      <c r="D118" s="18" t="n"/>
      <c r="E118" s="18" t="n"/>
      <c r="F118" s="18" t="n"/>
      <c r="G118" s="18" t="n"/>
      <c r="H118" s="18" t="n"/>
      <c r="I118" s="20">
        <f>IFERROR(E118-G118,"")</f>
        <v/>
      </c>
      <c r="J118" s="18" t="n"/>
      <c r="K118" s="18" t="n"/>
      <c r="L118" s="18" t="n"/>
    </row>
    <row r="119" ht="18" customHeight="1">
      <c r="A119" s="15" t="n"/>
      <c r="B119" s="15" t="n"/>
      <c r="C119" s="15" t="n"/>
      <c r="D119" s="15" t="n"/>
      <c r="E119" s="15" t="n"/>
      <c r="F119" s="15" t="n"/>
      <c r="G119" s="15" t="n"/>
      <c r="H119" s="15" t="n"/>
      <c r="I119" s="17">
        <f>IFERROR(E119-G119,"")</f>
        <v/>
      </c>
      <c r="J119" s="15" t="n"/>
      <c r="K119" s="15" t="n"/>
      <c r="L119" s="15" t="n"/>
    </row>
    <row r="120" ht="18" customHeight="1">
      <c r="A120" s="18" t="n"/>
      <c r="B120" s="18" t="n"/>
      <c r="C120" s="18" t="n"/>
      <c r="D120" s="18" t="n"/>
      <c r="E120" s="18" t="n"/>
      <c r="F120" s="18" t="n"/>
      <c r="G120" s="18" t="n"/>
      <c r="H120" s="18" t="n"/>
      <c r="I120" s="20">
        <f>IFERROR(E120-G120,"")</f>
        <v/>
      </c>
      <c r="J120" s="18" t="n"/>
      <c r="K120" s="18" t="n"/>
      <c r="L120" s="18" t="n"/>
    </row>
    <row r="121" ht="18" customHeight="1">
      <c r="A121" s="15" t="n"/>
      <c r="B121" s="15" t="n"/>
      <c r="C121" s="15" t="n"/>
      <c r="D121" s="15" t="n"/>
      <c r="E121" s="15" t="n"/>
      <c r="F121" s="15" t="n"/>
      <c r="G121" s="15" t="n"/>
      <c r="H121" s="15" t="n"/>
      <c r="I121" s="17">
        <f>IFERROR(E121-G121,"")</f>
        <v/>
      </c>
      <c r="J121" s="15" t="n"/>
      <c r="K121" s="15" t="n"/>
      <c r="L121" s="15" t="n"/>
    </row>
    <row r="122" ht="18" customHeight="1">
      <c r="A122" s="18" t="n"/>
      <c r="B122" s="18" t="n"/>
      <c r="C122" s="18" t="n"/>
      <c r="D122" s="18" t="n"/>
      <c r="E122" s="18" t="n"/>
      <c r="F122" s="18" t="n"/>
      <c r="G122" s="18" t="n"/>
      <c r="H122" s="18" t="n"/>
      <c r="I122" s="20">
        <f>IFERROR(E122-G122,"")</f>
        <v/>
      </c>
      <c r="J122" s="18" t="n"/>
      <c r="K122" s="18" t="n"/>
      <c r="L122" s="18" t="n"/>
    </row>
    <row r="123" ht="18" customHeight="1">
      <c r="A123" s="15" t="n"/>
      <c r="B123" s="15" t="n"/>
      <c r="C123" s="15" t="n"/>
      <c r="D123" s="15" t="n"/>
      <c r="E123" s="15" t="n"/>
      <c r="F123" s="15" t="n"/>
      <c r="G123" s="15" t="n"/>
      <c r="H123" s="15" t="n"/>
      <c r="I123" s="17">
        <f>IFERROR(E123-G123,"")</f>
        <v/>
      </c>
      <c r="J123" s="15" t="n"/>
      <c r="K123" s="15" t="n"/>
      <c r="L123" s="15" t="n"/>
    </row>
    <row r="124" ht="18" customHeight="1">
      <c r="A124" s="18" t="n"/>
      <c r="B124" s="18" t="n"/>
      <c r="C124" s="18" t="n"/>
      <c r="D124" s="18" t="n"/>
      <c r="E124" s="18" t="n"/>
      <c r="F124" s="18" t="n"/>
      <c r="G124" s="18" t="n"/>
      <c r="H124" s="18" t="n"/>
      <c r="I124" s="20">
        <f>IFERROR(E124-G124,"")</f>
        <v/>
      </c>
      <c r="J124" s="18" t="n"/>
      <c r="K124" s="18" t="n"/>
      <c r="L124" s="18" t="n"/>
    </row>
    <row r="125" ht="18" customHeight="1">
      <c r="A125" s="15" t="n"/>
      <c r="B125" s="15" t="n"/>
      <c r="C125" s="15" t="n"/>
      <c r="D125" s="15" t="n"/>
      <c r="E125" s="15" t="n"/>
      <c r="F125" s="15" t="n"/>
      <c r="G125" s="15" t="n"/>
      <c r="H125" s="15" t="n"/>
      <c r="I125" s="17">
        <f>IFERROR(E125-G125,"")</f>
        <v/>
      </c>
      <c r="J125" s="15" t="n"/>
      <c r="K125" s="15" t="n"/>
      <c r="L125" s="15" t="n"/>
    </row>
    <row r="126" ht="18" customHeight="1">
      <c r="A126" s="18" t="n"/>
      <c r="B126" s="18" t="n"/>
      <c r="C126" s="18" t="n"/>
      <c r="D126" s="18" t="n"/>
      <c r="E126" s="18" t="n"/>
      <c r="F126" s="18" t="n"/>
      <c r="G126" s="18" t="n"/>
      <c r="H126" s="18" t="n"/>
      <c r="I126" s="20">
        <f>IFERROR(E126-G126,"")</f>
        <v/>
      </c>
      <c r="J126" s="18" t="n"/>
      <c r="K126" s="18" t="n"/>
      <c r="L126" s="18" t="n"/>
    </row>
    <row r="127" ht="18" customHeight="1">
      <c r="A127" s="15" t="n"/>
      <c r="B127" s="15" t="n"/>
      <c r="C127" s="15" t="n"/>
      <c r="D127" s="15" t="n"/>
      <c r="E127" s="15" t="n"/>
      <c r="F127" s="15" t="n"/>
      <c r="G127" s="15" t="n"/>
      <c r="H127" s="15" t="n"/>
      <c r="I127" s="17">
        <f>IFERROR(E127-G127,"")</f>
        <v/>
      </c>
      <c r="J127" s="15" t="n"/>
      <c r="K127" s="15" t="n"/>
      <c r="L127" s="15" t="n"/>
    </row>
    <row r="128" ht="18" customHeight="1">
      <c r="A128" s="18" t="n"/>
      <c r="B128" s="18" t="n"/>
      <c r="C128" s="18" t="n"/>
      <c r="D128" s="18" t="n"/>
      <c r="E128" s="18" t="n"/>
      <c r="F128" s="18" t="n"/>
      <c r="G128" s="18" t="n"/>
      <c r="H128" s="18" t="n"/>
      <c r="I128" s="20">
        <f>IFERROR(E128-G128,"")</f>
        <v/>
      </c>
      <c r="J128" s="18" t="n"/>
      <c r="K128" s="18" t="n"/>
      <c r="L128" s="18" t="n"/>
    </row>
    <row r="129" ht="18" customHeight="1">
      <c r="A129" s="15" t="n"/>
      <c r="B129" s="15" t="n"/>
      <c r="C129" s="15" t="n"/>
      <c r="D129" s="15" t="n"/>
      <c r="E129" s="15" t="n"/>
      <c r="F129" s="15" t="n"/>
      <c r="G129" s="15" t="n"/>
      <c r="H129" s="15" t="n"/>
      <c r="I129" s="17">
        <f>IFERROR(E129-G129,"")</f>
        <v/>
      </c>
      <c r="J129" s="15" t="n"/>
      <c r="K129" s="15" t="n"/>
      <c r="L129" s="15" t="n"/>
    </row>
    <row r="130" ht="18" customHeight="1">
      <c r="A130" s="18" t="n"/>
      <c r="B130" s="18" t="n"/>
      <c r="C130" s="18" t="n"/>
      <c r="D130" s="18" t="n"/>
      <c r="E130" s="18" t="n"/>
      <c r="F130" s="18" t="n"/>
      <c r="G130" s="18" t="n"/>
      <c r="H130" s="18" t="n"/>
      <c r="I130" s="20">
        <f>IFERROR(E130-G130,"")</f>
        <v/>
      </c>
      <c r="J130" s="18" t="n"/>
      <c r="K130" s="18" t="n"/>
      <c r="L130" s="18" t="n"/>
    </row>
    <row r="131" ht="18" customHeight="1">
      <c r="A131" s="15" t="n"/>
      <c r="B131" s="15" t="n"/>
      <c r="C131" s="15" t="n"/>
      <c r="D131" s="15" t="n"/>
      <c r="E131" s="15" t="n"/>
      <c r="F131" s="15" t="n"/>
      <c r="G131" s="15" t="n"/>
      <c r="H131" s="15" t="n"/>
      <c r="I131" s="17">
        <f>IFERROR(E131-G131,"")</f>
        <v/>
      </c>
      <c r="J131" s="15" t="n"/>
      <c r="K131" s="15" t="n"/>
      <c r="L131" s="15" t="n"/>
    </row>
    <row r="132" ht="18" customHeight="1">
      <c r="A132" s="18" t="n"/>
      <c r="B132" s="18" t="n"/>
      <c r="C132" s="18" t="n"/>
      <c r="D132" s="18" t="n"/>
      <c r="E132" s="18" t="n"/>
      <c r="F132" s="18" t="n"/>
      <c r="G132" s="18" t="n"/>
      <c r="H132" s="18" t="n"/>
      <c r="I132" s="20">
        <f>IFERROR(E132-G132,"")</f>
        <v/>
      </c>
      <c r="J132" s="18" t="n"/>
      <c r="K132" s="18" t="n"/>
      <c r="L132" s="18" t="n"/>
    </row>
    <row r="133" ht="18" customHeight="1">
      <c r="A133" s="15" t="n"/>
      <c r="B133" s="15" t="n"/>
      <c r="C133" s="15" t="n"/>
      <c r="D133" s="15" t="n"/>
      <c r="E133" s="15" t="n"/>
      <c r="F133" s="15" t="n"/>
      <c r="G133" s="15" t="n"/>
      <c r="H133" s="15" t="n"/>
      <c r="I133" s="17">
        <f>IFERROR(E133-G133,"")</f>
        <v/>
      </c>
      <c r="J133" s="15" t="n"/>
      <c r="K133" s="15" t="n"/>
      <c r="L133" s="15" t="n"/>
    </row>
    <row r="134" ht="18" customHeight="1">
      <c r="A134" s="18" t="n"/>
      <c r="B134" s="18" t="n"/>
      <c r="C134" s="18" t="n"/>
      <c r="D134" s="18" t="n"/>
      <c r="E134" s="18" t="n"/>
      <c r="F134" s="18" t="n"/>
      <c r="G134" s="18" t="n"/>
      <c r="H134" s="18" t="n"/>
      <c r="I134" s="20">
        <f>IFERROR(E134-G134,"")</f>
        <v/>
      </c>
      <c r="J134" s="18" t="n"/>
      <c r="K134" s="18" t="n"/>
      <c r="L134" s="18" t="n"/>
    </row>
    <row r="135" ht="18" customHeight="1">
      <c r="A135" s="15" t="n"/>
      <c r="B135" s="15" t="n"/>
      <c r="C135" s="15" t="n"/>
      <c r="D135" s="15" t="n"/>
      <c r="E135" s="15" t="n"/>
      <c r="F135" s="15" t="n"/>
      <c r="G135" s="15" t="n"/>
      <c r="H135" s="15" t="n"/>
      <c r="I135" s="17">
        <f>IFERROR(E135-G135,"")</f>
        <v/>
      </c>
      <c r="J135" s="15" t="n"/>
      <c r="K135" s="15" t="n"/>
      <c r="L135" s="15" t="n"/>
    </row>
    <row r="136" ht="18" customHeight="1">
      <c r="A136" s="18" t="n"/>
      <c r="B136" s="18" t="n"/>
      <c r="C136" s="18" t="n"/>
      <c r="D136" s="18" t="n"/>
      <c r="E136" s="18" t="n"/>
      <c r="F136" s="18" t="n"/>
      <c r="G136" s="18" t="n"/>
      <c r="H136" s="18" t="n"/>
      <c r="I136" s="20">
        <f>IFERROR(E136-G136,"")</f>
        <v/>
      </c>
      <c r="J136" s="18" t="n"/>
      <c r="K136" s="18" t="n"/>
      <c r="L136" s="18" t="n"/>
    </row>
    <row r="137" ht="18" customHeight="1">
      <c r="A137" s="15" t="n"/>
      <c r="B137" s="15" t="n"/>
      <c r="C137" s="15" t="n"/>
      <c r="D137" s="15" t="n"/>
      <c r="E137" s="15" t="n"/>
      <c r="F137" s="15" t="n"/>
      <c r="G137" s="15" t="n"/>
      <c r="H137" s="15" t="n"/>
      <c r="I137" s="17">
        <f>IFERROR(E137-G137,"")</f>
        <v/>
      </c>
      <c r="J137" s="15" t="n"/>
      <c r="K137" s="15" t="n"/>
      <c r="L137" s="15" t="n"/>
    </row>
    <row r="138" ht="18" customHeight="1">
      <c r="A138" s="18" t="n"/>
      <c r="B138" s="18" t="n"/>
      <c r="C138" s="18" t="n"/>
      <c r="D138" s="18" t="n"/>
      <c r="E138" s="18" t="n"/>
      <c r="F138" s="18" t="n"/>
      <c r="G138" s="18" t="n"/>
      <c r="H138" s="18" t="n"/>
      <c r="I138" s="20">
        <f>IFERROR(E138-G138,"")</f>
        <v/>
      </c>
      <c r="J138" s="18" t="n"/>
      <c r="K138" s="18" t="n"/>
      <c r="L138" s="18" t="n"/>
    </row>
    <row r="139" ht="18" customHeight="1">
      <c r="A139" s="15" t="n"/>
      <c r="B139" s="15" t="n"/>
      <c r="C139" s="15" t="n"/>
      <c r="D139" s="15" t="n"/>
      <c r="E139" s="15" t="n"/>
      <c r="F139" s="15" t="n"/>
      <c r="G139" s="15" t="n"/>
      <c r="H139" s="15" t="n"/>
      <c r="I139" s="17">
        <f>IFERROR(E139-G139,"")</f>
        <v/>
      </c>
      <c r="J139" s="15" t="n"/>
      <c r="K139" s="15" t="n"/>
      <c r="L139" s="15" t="n"/>
    </row>
    <row r="140" ht="18" customHeight="1">
      <c r="A140" s="18" t="n"/>
      <c r="B140" s="18" t="n"/>
      <c r="C140" s="18" t="n"/>
      <c r="D140" s="18" t="n"/>
      <c r="E140" s="18" t="n"/>
      <c r="F140" s="18" t="n"/>
      <c r="G140" s="18" t="n"/>
      <c r="H140" s="18" t="n"/>
      <c r="I140" s="20">
        <f>IFERROR(E140-G140,"")</f>
        <v/>
      </c>
      <c r="J140" s="18" t="n"/>
      <c r="K140" s="18" t="n"/>
      <c r="L140" s="18" t="n"/>
    </row>
    <row r="141" ht="18" customHeight="1">
      <c r="A141" s="15" t="n"/>
      <c r="B141" s="15" t="n"/>
      <c r="C141" s="15" t="n"/>
      <c r="D141" s="15" t="n"/>
      <c r="E141" s="15" t="n"/>
      <c r="F141" s="15" t="n"/>
      <c r="G141" s="15" t="n"/>
      <c r="H141" s="15" t="n"/>
      <c r="I141" s="17">
        <f>IFERROR(E141-G141,"")</f>
        <v/>
      </c>
      <c r="J141" s="15" t="n"/>
      <c r="K141" s="15" t="n"/>
      <c r="L141" s="15" t="n"/>
    </row>
    <row r="142" ht="18" customHeight="1">
      <c r="A142" s="18" t="n"/>
      <c r="B142" s="18" t="n"/>
      <c r="C142" s="18" t="n"/>
      <c r="D142" s="18" t="n"/>
      <c r="E142" s="18" t="n"/>
      <c r="F142" s="18" t="n"/>
      <c r="G142" s="18" t="n"/>
      <c r="H142" s="18" t="n"/>
      <c r="I142" s="20">
        <f>IFERROR(E142-G142,"")</f>
        <v/>
      </c>
      <c r="J142" s="18" t="n"/>
      <c r="K142" s="18" t="n"/>
      <c r="L142" s="18" t="n"/>
    </row>
    <row r="143" ht="18" customHeight="1">
      <c r="A143" s="15" t="n"/>
      <c r="B143" s="15" t="n"/>
      <c r="C143" s="15" t="n"/>
      <c r="D143" s="15" t="n"/>
      <c r="E143" s="15" t="n"/>
      <c r="F143" s="15" t="n"/>
      <c r="G143" s="15" t="n"/>
      <c r="H143" s="15" t="n"/>
      <c r="I143" s="17">
        <f>IFERROR(E143-G143,"")</f>
        <v/>
      </c>
      <c r="J143" s="15" t="n"/>
      <c r="K143" s="15" t="n"/>
      <c r="L143" s="15" t="n"/>
    </row>
    <row r="144" ht="18" customHeight="1">
      <c r="A144" s="18" t="n"/>
      <c r="B144" s="18" t="n"/>
      <c r="C144" s="18" t="n"/>
      <c r="D144" s="18" t="n"/>
      <c r="E144" s="18" t="n"/>
      <c r="F144" s="18" t="n"/>
      <c r="G144" s="18" t="n"/>
      <c r="H144" s="18" t="n"/>
      <c r="I144" s="20">
        <f>IFERROR(E144-G144,"")</f>
        <v/>
      </c>
      <c r="J144" s="18" t="n"/>
      <c r="K144" s="18" t="n"/>
      <c r="L144" s="18" t="n"/>
    </row>
    <row r="145" ht="18" customHeight="1">
      <c r="A145" s="15" t="n"/>
      <c r="B145" s="15" t="n"/>
      <c r="C145" s="15" t="n"/>
      <c r="D145" s="15" t="n"/>
      <c r="E145" s="15" t="n"/>
      <c r="F145" s="15" t="n"/>
      <c r="G145" s="15" t="n"/>
      <c r="H145" s="15" t="n"/>
      <c r="I145" s="17">
        <f>IFERROR(E145-G145,"")</f>
        <v/>
      </c>
      <c r="J145" s="15" t="n"/>
      <c r="K145" s="15" t="n"/>
      <c r="L145" s="15" t="n"/>
    </row>
    <row r="146" ht="18" customHeight="1">
      <c r="A146" s="18" t="n"/>
      <c r="B146" s="18" t="n"/>
      <c r="C146" s="18" t="n"/>
      <c r="D146" s="18" t="n"/>
      <c r="E146" s="18" t="n"/>
      <c r="F146" s="18" t="n"/>
      <c r="G146" s="18" t="n"/>
      <c r="H146" s="18" t="n"/>
      <c r="I146" s="20">
        <f>IFERROR(E146-G146,"")</f>
        <v/>
      </c>
      <c r="J146" s="18" t="n"/>
      <c r="K146" s="18" t="n"/>
      <c r="L146" s="18" t="n"/>
    </row>
    <row r="147" ht="18" customHeight="1">
      <c r="A147" s="15" t="n"/>
      <c r="B147" s="15" t="n"/>
      <c r="C147" s="15" t="n"/>
      <c r="D147" s="15" t="n"/>
      <c r="E147" s="15" t="n"/>
      <c r="F147" s="15" t="n"/>
      <c r="G147" s="15" t="n"/>
      <c r="H147" s="15" t="n"/>
      <c r="I147" s="17">
        <f>IFERROR(E147-G147,"")</f>
        <v/>
      </c>
      <c r="J147" s="15" t="n"/>
      <c r="K147" s="15" t="n"/>
      <c r="L147" s="15" t="n"/>
    </row>
    <row r="148" ht="18" customHeight="1">
      <c r="A148" s="18" t="n"/>
      <c r="B148" s="18" t="n"/>
      <c r="C148" s="18" t="n"/>
      <c r="D148" s="18" t="n"/>
      <c r="E148" s="18" t="n"/>
      <c r="F148" s="18" t="n"/>
      <c r="G148" s="18" t="n"/>
      <c r="H148" s="18" t="n"/>
      <c r="I148" s="20">
        <f>IFERROR(E148-G148,"")</f>
        <v/>
      </c>
      <c r="J148" s="18" t="n"/>
      <c r="K148" s="18" t="n"/>
      <c r="L148" s="18" t="n"/>
    </row>
    <row r="149" ht="18" customHeight="1">
      <c r="A149" s="15" t="n"/>
      <c r="B149" s="15" t="n"/>
      <c r="C149" s="15" t="n"/>
      <c r="D149" s="15" t="n"/>
      <c r="E149" s="15" t="n"/>
      <c r="F149" s="15" t="n"/>
      <c r="G149" s="15" t="n"/>
      <c r="H149" s="15" t="n"/>
      <c r="I149" s="17">
        <f>IFERROR(E149-G149,"")</f>
        <v/>
      </c>
      <c r="J149" s="15" t="n"/>
      <c r="K149" s="15" t="n"/>
      <c r="L149" s="15" t="n"/>
    </row>
    <row r="150" ht="18" customHeight="1">
      <c r="A150" s="18" t="n"/>
      <c r="B150" s="18" t="n"/>
      <c r="C150" s="18" t="n"/>
      <c r="D150" s="18" t="n"/>
      <c r="E150" s="18" t="n"/>
      <c r="F150" s="18" t="n"/>
      <c r="G150" s="18" t="n"/>
      <c r="H150" s="18" t="n"/>
      <c r="I150" s="20">
        <f>IFERROR(E150-G150,"")</f>
        <v/>
      </c>
      <c r="J150" s="18" t="n"/>
      <c r="K150" s="18" t="n"/>
      <c r="L150" s="18" t="n"/>
    </row>
    <row r="151" ht="18" customHeight="1">
      <c r="A151" s="15" t="n"/>
      <c r="B151" s="15" t="n"/>
      <c r="C151" s="15" t="n"/>
      <c r="D151" s="15" t="n"/>
      <c r="E151" s="15" t="n"/>
      <c r="F151" s="15" t="n"/>
      <c r="G151" s="15" t="n"/>
      <c r="H151" s="15" t="n"/>
      <c r="I151" s="17">
        <f>IFERROR(E151-G151,"")</f>
        <v/>
      </c>
      <c r="J151" s="15" t="n"/>
      <c r="K151" s="15" t="n"/>
      <c r="L151" s="15" t="n"/>
    </row>
    <row r="152" ht="18" customHeight="1">
      <c r="A152" s="18" t="n"/>
      <c r="B152" s="18" t="n"/>
      <c r="C152" s="18" t="n"/>
      <c r="D152" s="18" t="n"/>
      <c r="E152" s="18" t="n"/>
      <c r="F152" s="18" t="n"/>
      <c r="G152" s="18" t="n"/>
      <c r="H152" s="18" t="n"/>
      <c r="I152" s="20">
        <f>IFERROR(E152-G152,"")</f>
        <v/>
      </c>
      <c r="J152" s="18" t="n"/>
      <c r="K152" s="18" t="n"/>
      <c r="L152" s="18" t="n"/>
    </row>
    <row r="153" ht="18" customHeight="1">
      <c r="A153" s="15" t="n"/>
      <c r="B153" s="15" t="n"/>
      <c r="C153" s="15" t="n"/>
      <c r="D153" s="15" t="n"/>
      <c r="E153" s="15" t="n"/>
      <c r="F153" s="15" t="n"/>
      <c r="G153" s="15" t="n"/>
      <c r="H153" s="15" t="n"/>
      <c r="I153" s="17">
        <f>IFERROR(E153-G153,"")</f>
        <v/>
      </c>
      <c r="J153" s="15" t="n"/>
      <c r="K153" s="15" t="n"/>
      <c r="L153" s="15" t="n"/>
    </row>
    <row r="154" ht="18" customHeight="1">
      <c r="A154" s="18" t="n"/>
      <c r="B154" s="18" t="n"/>
      <c r="C154" s="18" t="n"/>
      <c r="D154" s="18" t="n"/>
      <c r="E154" s="18" t="n"/>
      <c r="F154" s="18" t="n"/>
      <c r="G154" s="18" t="n"/>
      <c r="H154" s="18" t="n"/>
      <c r="I154" s="20">
        <f>IFERROR(E154-G154,"")</f>
        <v/>
      </c>
      <c r="J154" s="18" t="n"/>
      <c r="K154" s="18" t="n"/>
      <c r="L154" s="18" t="n"/>
    </row>
    <row r="155" ht="18" customHeight="1">
      <c r="A155" s="15" t="n"/>
      <c r="B155" s="15" t="n"/>
      <c r="C155" s="15" t="n"/>
      <c r="D155" s="15" t="n"/>
      <c r="E155" s="15" t="n"/>
      <c r="F155" s="15" t="n"/>
      <c r="G155" s="15" t="n"/>
      <c r="H155" s="15" t="n"/>
      <c r="I155" s="17">
        <f>IFERROR(E155-G155,"")</f>
        <v/>
      </c>
      <c r="J155" s="15" t="n"/>
      <c r="K155" s="15" t="n"/>
      <c r="L155" s="15" t="n"/>
    </row>
    <row r="156" ht="18" customHeight="1">
      <c r="A156" s="18" t="n"/>
      <c r="B156" s="18" t="n"/>
      <c r="C156" s="18" t="n"/>
      <c r="D156" s="18" t="n"/>
      <c r="E156" s="18" t="n"/>
      <c r="F156" s="18" t="n"/>
      <c r="G156" s="18" t="n"/>
      <c r="H156" s="18" t="n"/>
      <c r="I156" s="20">
        <f>IFERROR(E156-G156,"")</f>
        <v/>
      </c>
      <c r="J156" s="18" t="n"/>
      <c r="K156" s="18" t="n"/>
      <c r="L156" s="18" t="n"/>
    </row>
    <row r="157" ht="18" customHeight="1">
      <c r="A157" s="15" t="n"/>
      <c r="B157" s="15" t="n"/>
      <c r="C157" s="15" t="n"/>
      <c r="D157" s="15" t="n"/>
      <c r="E157" s="15" t="n"/>
      <c r="F157" s="15" t="n"/>
      <c r="G157" s="15" t="n"/>
      <c r="H157" s="15" t="n"/>
      <c r="I157" s="17">
        <f>IFERROR(E157-G157,"")</f>
        <v/>
      </c>
      <c r="J157" s="15" t="n"/>
      <c r="K157" s="15" t="n"/>
      <c r="L157" s="15" t="n"/>
    </row>
    <row r="158" ht="18" customHeight="1">
      <c r="A158" s="18" t="n"/>
      <c r="B158" s="18" t="n"/>
      <c r="C158" s="18" t="n"/>
      <c r="D158" s="18" t="n"/>
      <c r="E158" s="18" t="n"/>
      <c r="F158" s="18" t="n"/>
      <c r="G158" s="18" t="n"/>
      <c r="H158" s="18" t="n"/>
      <c r="I158" s="20">
        <f>IFERROR(E158-G158,"")</f>
        <v/>
      </c>
      <c r="J158" s="18" t="n"/>
      <c r="K158" s="18" t="n"/>
      <c r="L158" s="18" t="n"/>
    </row>
    <row r="159" ht="18" customHeight="1">
      <c r="A159" s="15" t="n"/>
      <c r="B159" s="15" t="n"/>
      <c r="C159" s="15" t="n"/>
      <c r="D159" s="15" t="n"/>
      <c r="E159" s="15" t="n"/>
      <c r="F159" s="15" t="n"/>
      <c r="G159" s="15" t="n"/>
      <c r="H159" s="15" t="n"/>
      <c r="I159" s="17">
        <f>IFERROR(E159-G159,"")</f>
        <v/>
      </c>
      <c r="J159" s="15" t="n"/>
      <c r="K159" s="15" t="n"/>
      <c r="L159" s="15" t="n"/>
    </row>
    <row r="160" ht="18" customHeight="1">
      <c r="A160" s="18" t="n"/>
      <c r="B160" s="18" t="n"/>
      <c r="C160" s="18" t="n"/>
      <c r="D160" s="18" t="n"/>
      <c r="E160" s="18" t="n"/>
      <c r="F160" s="18" t="n"/>
      <c r="G160" s="18" t="n"/>
      <c r="H160" s="18" t="n"/>
      <c r="I160" s="20">
        <f>IFERROR(E160-G160,"")</f>
        <v/>
      </c>
      <c r="J160" s="18" t="n"/>
      <c r="K160" s="18" t="n"/>
      <c r="L160" s="18" t="n"/>
    </row>
    <row r="161" ht="18" customHeight="1">
      <c r="A161" s="15" t="n"/>
      <c r="B161" s="15" t="n"/>
      <c r="C161" s="15" t="n"/>
      <c r="D161" s="15" t="n"/>
      <c r="E161" s="15" t="n"/>
      <c r="F161" s="15" t="n"/>
      <c r="G161" s="15" t="n"/>
      <c r="H161" s="15" t="n"/>
      <c r="I161" s="17">
        <f>IFERROR(E161-G161,"")</f>
        <v/>
      </c>
      <c r="J161" s="15" t="n"/>
      <c r="K161" s="15" t="n"/>
      <c r="L161" s="15" t="n"/>
    </row>
    <row r="162" ht="18" customHeight="1">
      <c r="A162" s="18" t="n"/>
      <c r="B162" s="18" t="n"/>
      <c r="C162" s="18" t="n"/>
      <c r="D162" s="18" t="n"/>
      <c r="E162" s="18" t="n"/>
      <c r="F162" s="18" t="n"/>
      <c r="G162" s="18" t="n"/>
      <c r="H162" s="18" t="n"/>
      <c r="I162" s="20">
        <f>IFERROR(E162-G162,"")</f>
        <v/>
      </c>
      <c r="J162" s="18" t="n"/>
      <c r="K162" s="18" t="n"/>
      <c r="L162" s="18" t="n"/>
    </row>
    <row r="163" ht="18" customHeight="1">
      <c r="A163" s="15" t="n"/>
      <c r="B163" s="15" t="n"/>
      <c r="C163" s="15" t="n"/>
      <c r="D163" s="15" t="n"/>
      <c r="E163" s="15" t="n"/>
      <c r="F163" s="15" t="n"/>
      <c r="G163" s="15" t="n"/>
      <c r="H163" s="15" t="n"/>
      <c r="I163" s="17">
        <f>IFERROR(E163-G163,"")</f>
        <v/>
      </c>
      <c r="J163" s="15" t="n"/>
      <c r="K163" s="15" t="n"/>
      <c r="L163" s="15" t="n"/>
    </row>
    <row r="164" ht="18" customHeight="1">
      <c r="A164" s="18" t="n"/>
      <c r="B164" s="18" t="n"/>
      <c r="C164" s="18" t="n"/>
      <c r="D164" s="18" t="n"/>
      <c r="E164" s="18" t="n"/>
      <c r="F164" s="18" t="n"/>
      <c r="G164" s="18" t="n"/>
      <c r="H164" s="18" t="n"/>
      <c r="I164" s="20">
        <f>IFERROR(E164-G164,"")</f>
        <v/>
      </c>
      <c r="J164" s="18" t="n"/>
      <c r="K164" s="18" t="n"/>
      <c r="L164" s="18" t="n"/>
    </row>
    <row r="165" ht="18" customHeight="1">
      <c r="A165" s="15" t="n"/>
      <c r="B165" s="15" t="n"/>
      <c r="C165" s="15" t="n"/>
      <c r="D165" s="15" t="n"/>
      <c r="E165" s="15" t="n"/>
      <c r="F165" s="15" t="n"/>
      <c r="G165" s="15" t="n"/>
      <c r="H165" s="15" t="n"/>
      <c r="I165" s="17">
        <f>IFERROR(E165-G165,"")</f>
        <v/>
      </c>
      <c r="J165" s="15" t="n"/>
      <c r="K165" s="15" t="n"/>
      <c r="L165" s="15" t="n"/>
    </row>
    <row r="166" ht="18" customHeight="1">
      <c r="A166" s="18" t="n"/>
      <c r="B166" s="18" t="n"/>
      <c r="C166" s="18" t="n"/>
      <c r="D166" s="18" t="n"/>
      <c r="E166" s="18" t="n"/>
      <c r="F166" s="18" t="n"/>
      <c r="G166" s="18" t="n"/>
      <c r="H166" s="18" t="n"/>
      <c r="I166" s="20">
        <f>IFERROR(E166-G166,"")</f>
        <v/>
      </c>
      <c r="J166" s="18" t="n"/>
      <c r="K166" s="18" t="n"/>
      <c r="L166" s="18" t="n"/>
    </row>
    <row r="167" ht="18" customHeight="1">
      <c r="A167" s="15" t="n"/>
      <c r="B167" s="15" t="n"/>
      <c r="C167" s="15" t="n"/>
      <c r="D167" s="15" t="n"/>
      <c r="E167" s="15" t="n"/>
      <c r="F167" s="15" t="n"/>
      <c r="G167" s="15" t="n"/>
      <c r="H167" s="15" t="n"/>
      <c r="I167" s="17">
        <f>IFERROR(E167-G167,"")</f>
        <v/>
      </c>
      <c r="J167" s="15" t="n"/>
      <c r="K167" s="15" t="n"/>
      <c r="L167" s="15" t="n"/>
    </row>
    <row r="168" ht="18" customHeight="1">
      <c r="A168" s="18" t="n"/>
      <c r="B168" s="18" t="n"/>
      <c r="C168" s="18" t="n"/>
      <c r="D168" s="18" t="n"/>
      <c r="E168" s="18" t="n"/>
      <c r="F168" s="18" t="n"/>
      <c r="G168" s="18" t="n"/>
      <c r="H168" s="18" t="n"/>
      <c r="I168" s="20">
        <f>IFERROR(E168-G168,"")</f>
        <v/>
      </c>
      <c r="J168" s="18" t="n"/>
      <c r="K168" s="18" t="n"/>
      <c r="L168" s="18" t="n"/>
    </row>
    <row r="169" ht="18" customHeight="1">
      <c r="A169" s="15" t="n"/>
      <c r="B169" s="15" t="n"/>
      <c r="C169" s="15" t="n"/>
      <c r="D169" s="15" t="n"/>
      <c r="E169" s="15" t="n"/>
      <c r="F169" s="15" t="n"/>
      <c r="G169" s="15" t="n"/>
      <c r="H169" s="15" t="n"/>
      <c r="I169" s="17">
        <f>IFERROR(E169-G169,"")</f>
        <v/>
      </c>
      <c r="J169" s="15" t="n"/>
      <c r="K169" s="15" t="n"/>
      <c r="L169" s="15" t="n"/>
    </row>
    <row r="170" ht="18" customHeight="1">
      <c r="A170" s="18" t="n"/>
      <c r="B170" s="18" t="n"/>
      <c r="C170" s="18" t="n"/>
      <c r="D170" s="18" t="n"/>
      <c r="E170" s="18" t="n"/>
      <c r="F170" s="18" t="n"/>
      <c r="G170" s="18" t="n"/>
      <c r="H170" s="18" t="n"/>
      <c r="I170" s="20">
        <f>IFERROR(E170-G170,"")</f>
        <v/>
      </c>
      <c r="J170" s="18" t="n"/>
      <c r="K170" s="18" t="n"/>
      <c r="L170" s="18" t="n"/>
    </row>
    <row r="171" ht="18" customHeight="1">
      <c r="A171" s="15" t="n"/>
      <c r="B171" s="15" t="n"/>
      <c r="C171" s="15" t="n"/>
      <c r="D171" s="15" t="n"/>
      <c r="E171" s="15" t="n"/>
      <c r="F171" s="15" t="n"/>
      <c r="G171" s="15" t="n"/>
      <c r="H171" s="15" t="n"/>
      <c r="I171" s="17">
        <f>IFERROR(E171-G171,"")</f>
        <v/>
      </c>
      <c r="J171" s="15" t="n"/>
      <c r="K171" s="15" t="n"/>
      <c r="L171" s="15" t="n"/>
    </row>
    <row r="172" ht="18" customHeight="1">
      <c r="A172" s="18" t="n"/>
      <c r="B172" s="18" t="n"/>
      <c r="C172" s="18" t="n"/>
      <c r="D172" s="18" t="n"/>
      <c r="E172" s="18" t="n"/>
      <c r="F172" s="18" t="n"/>
      <c r="G172" s="18" t="n"/>
      <c r="H172" s="18" t="n"/>
      <c r="I172" s="20">
        <f>IFERROR(E172-G172,"")</f>
        <v/>
      </c>
      <c r="J172" s="18" t="n"/>
      <c r="K172" s="18" t="n"/>
      <c r="L172" s="18" t="n"/>
    </row>
    <row r="173" ht="18" customHeight="1">
      <c r="A173" s="15" t="n"/>
      <c r="B173" s="15" t="n"/>
      <c r="C173" s="15" t="n"/>
      <c r="D173" s="15" t="n"/>
      <c r="E173" s="15" t="n"/>
      <c r="F173" s="15" t="n"/>
      <c r="G173" s="15" t="n"/>
      <c r="H173" s="15" t="n"/>
      <c r="I173" s="17">
        <f>IFERROR(E173-G173,"")</f>
        <v/>
      </c>
      <c r="J173" s="15" t="n"/>
      <c r="K173" s="15" t="n"/>
      <c r="L173" s="15" t="n"/>
    </row>
    <row r="174" ht="18" customHeight="1">
      <c r="A174" s="18" t="n"/>
      <c r="B174" s="18" t="n"/>
      <c r="C174" s="18" t="n"/>
      <c r="D174" s="18" t="n"/>
      <c r="E174" s="18" t="n"/>
      <c r="F174" s="18" t="n"/>
      <c r="G174" s="18" t="n"/>
      <c r="H174" s="18" t="n"/>
      <c r="I174" s="20">
        <f>IFERROR(E174-G174,"")</f>
        <v/>
      </c>
      <c r="J174" s="18" t="n"/>
      <c r="K174" s="18" t="n"/>
      <c r="L174" s="18" t="n"/>
    </row>
    <row r="175" ht="18" customHeight="1">
      <c r="A175" s="15" t="n"/>
      <c r="B175" s="15" t="n"/>
      <c r="C175" s="15" t="n"/>
      <c r="D175" s="15" t="n"/>
      <c r="E175" s="15" t="n"/>
      <c r="F175" s="15" t="n"/>
      <c r="G175" s="15" t="n"/>
      <c r="H175" s="15" t="n"/>
      <c r="I175" s="17">
        <f>IFERROR(E175-G175,"")</f>
        <v/>
      </c>
      <c r="J175" s="15" t="n"/>
      <c r="K175" s="15" t="n"/>
      <c r="L175" s="15" t="n"/>
    </row>
    <row r="176" ht="18" customHeight="1">
      <c r="A176" s="18" t="n"/>
      <c r="B176" s="18" t="n"/>
      <c r="C176" s="18" t="n"/>
      <c r="D176" s="18" t="n"/>
      <c r="E176" s="18" t="n"/>
      <c r="F176" s="18" t="n"/>
      <c r="G176" s="18" t="n"/>
      <c r="H176" s="18" t="n"/>
      <c r="I176" s="20">
        <f>IFERROR(E176-G176,"")</f>
        <v/>
      </c>
      <c r="J176" s="18" t="n"/>
      <c r="K176" s="18" t="n"/>
      <c r="L176" s="18" t="n"/>
    </row>
    <row r="177" ht="18" customHeight="1">
      <c r="A177" s="15" t="n"/>
      <c r="B177" s="15" t="n"/>
      <c r="C177" s="15" t="n"/>
      <c r="D177" s="15" t="n"/>
      <c r="E177" s="15" t="n"/>
      <c r="F177" s="15" t="n"/>
      <c r="G177" s="15" t="n"/>
      <c r="H177" s="15" t="n"/>
      <c r="I177" s="17">
        <f>IFERROR(E177-G177,"")</f>
        <v/>
      </c>
      <c r="J177" s="15" t="n"/>
      <c r="K177" s="15" t="n"/>
      <c r="L177" s="15" t="n"/>
    </row>
    <row r="178" ht="18" customHeight="1">
      <c r="A178" s="18" t="n"/>
      <c r="B178" s="18" t="n"/>
      <c r="C178" s="18" t="n"/>
      <c r="D178" s="18" t="n"/>
      <c r="E178" s="18" t="n"/>
      <c r="F178" s="18" t="n"/>
      <c r="G178" s="18" t="n"/>
      <c r="H178" s="18" t="n"/>
      <c r="I178" s="20">
        <f>IFERROR(E178-G178,"")</f>
        <v/>
      </c>
      <c r="J178" s="18" t="n"/>
      <c r="K178" s="18" t="n"/>
      <c r="L178" s="18" t="n"/>
    </row>
    <row r="179" ht="18" customHeight="1">
      <c r="A179" s="15" t="n"/>
      <c r="B179" s="15" t="n"/>
      <c r="C179" s="15" t="n"/>
      <c r="D179" s="15" t="n"/>
      <c r="E179" s="15" t="n"/>
      <c r="F179" s="15" t="n"/>
      <c r="G179" s="15" t="n"/>
      <c r="H179" s="15" t="n"/>
      <c r="I179" s="17">
        <f>IFERROR(E179-G179,"")</f>
        <v/>
      </c>
      <c r="J179" s="15" t="n"/>
      <c r="K179" s="15" t="n"/>
      <c r="L179" s="15" t="n"/>
    </row>
    <row r="180" ht="18" customHeight="1">
      <c r="A180" s="18" t="n"/>
      <c r="B180" s="18" t="n"/>
      <c r="C180" s="18" t="n"/>
      <c r="D180" s="18" t="n"/>
      <c r="E180" s="18" t="n"/>
      <c r="F180" s="18" t="n"/>
      <c r="G180" s="18" t="n"/>
      <c r="H180" s="18" t="n"/>
      <c r="I180" s="20">
        <f>IFERROR(E180-G180,"")</f>
        <v/>
      </c>
      <c r="J180" s="18" t="n"/>
      <c r="K180" s="18" t="n"/>
      <c r="L180" s="18" t="n"/>
    </row>
    <row r="181" ht="18" customHeight="1">
      <c r="A181" s="15" t="n"/>
      <c r="B181" s="15" t="n"/>
      <c r="C181" s="15" t="n"/>
      <c r="D181" s="15" t="n"/>
      <c r="E181" s="15" t="n"/>
      <c r="F181" s="15" t="n"/>
      <c r="G181" s="15" t="n"/>
      <c r="H181" s="15" t="n"/>
      <c r="I181" s="17">
        <f>IFERROR(E181-G181,"")</f>
        <v/>
      </c>
      <c r="J181" s="15" t="n"/>
      <c r="K181" s="15" t="n"/>
      <c r="L181" s="15" t="n"/>
    </row>
    <row r="182" ht="18" customHeight="1">
      <c r="A182" s="18" t="n"/>
      <c r="B182" s="18" t="n"/>
      <c r="C182" s="18" t="n"/>
      <c r="D182" s="18" t="n"/>
      <c r="E182" s="18" t="n"/>
      <c r="F182" s="18" t="n"/>
      <c r="G182" s="18" t="n"/>
      <c r="H182" s="18" t="n"/>
      <c r="I182" s="20">
        <f>IFERROR(E182-G182,"")</f>
        <v/>
      </c>
      <c r="J182" s="18" t="n"/>
      <c r="K182" s="18" t="n"/>
      <c r="L182" s="18" t="n"/>
    </row>
    <row r="183" ht="18" customHeight="1">
      <c r="A183" s="15" t="n"/>
      <c r="B183" s="15" t="n"/>
      <c r="C183" s="15" t="n"/>
      <c r="D183" s="15" t="n"/>
      <c r="E183" s="15" t="n"/>
      <c r="F183" s="15" t="n"/>
      <c r="G183" s="15" t="n"/>
      <c r="H183" s="15" t="n"/>
      <c r="I183" s="17">
        <f>IFERROR(E183-G183,"")</f>
        <v/>
      </c>
      <c r="J183" s="15" t="n"/>
      <c r="K183" s="15" t="n"/>
      <c r="L183" s="15" t="n"/>
    </row>
    <row r="184" ht="18" customHeight="1">
      <c r="A184" s="18" t="n"/>
      <c r="B184" s="18" t="n"/>
      <c r="C184" s="18" t="n"/>
      <c r="D184" s="18" t="n"/>
      <c r="E184" s="18" t="n"/>
      <c r="F184" s="18" t="n"/>
      <c r="G184" s="18" t="n"/>
      <c r="H184" s="18" t="n"/>
      <c r="I184" s="20">
        <f>IFERROR(E184-G184,"")</f>
        <v/>
      </c>
      <c r="J184" s="18" t="n"/>
      <c r="K184" s="18" t="n"/>
      <c r="L184" s="18" t="n"/>
    </row>
    <row r="185" ht="18" customHeight="1">
      <c r="A185" s="15" t="n"/>
      <c r="B185" s="15" t="n"/>
      <c r="C185" s="15" t="n"/>
      <c r="D185" s="15" t="n"/>
      <c r="E185" s="15" t="n"/>
      <c r="F185" s="15" t="n"/>
      <c r="G185" s="15" t="n"/>
      <c r="H185" s="15" t="n"/>
      <c r="I185" s="17">
        <f>IFERROR(E185-G185,"")</f>
        <v/>
      </c>
      <c r="J185" s="15" t="n"/>
      <c r="K185" s="15" t="n"/>
      <c r="L185" s="15" t="n"/>
    </row>
    <row r="186" ht="18" customHeight="1">
      <c r="A186" s="18" t="n"/>
      <c r="B186" s="18" t="n"/>
      <c r="C186" s="18" t="n"/>
      <c r="D186" s="18" t="n"/>
      <c r="E186" s="18" t="n"/>
      <c r="F186" s="18" t="n"/>
      <c r="G186" s="18" t="n"/>
      <c r="H186" s="18" t="n"/>
      <c r="I186" s="20">
        <f>IFERROR(E186-G186,"")</f>
        <v/>
      </c>
      <c r="J186" s="18" t="n"/>
      <c r="K186" s="18" t="n"/>
      <c r="L186" s="18" t="n"/>
    </row>
    <row r="187" ht="18" customHeight="1">
      <c r="A187" s="15" t="n"/>
      <c r="B187" s="15" t="n"/>
      <c r="C187" s="15" t="n"/>
      <c r="D187" s="15" t="n"/>
      <c r="E187" s="15" t="n"/>
      <c r="F187" s="15" t="n"/>
      <c r="G187" s="15" t="n"/>
      <c r="H187" s="15" t="n"/>
      <c r="I187" s="17">
        <f>IFERROR(E187-G187,"")</f>
        <v/>
      </c>
      <c r="J187" s="15" t="n"/>
      <c r="K187" s="15" t="n"/>
      <c r="L187" s="15" t="n"/>
    </row>
    <row r="188" ht="18" customHeight="1">
      <c r="A188" s="18" t="n"/>
      <c r="B188" s="18" t="n"/>
      <c r="C188" s="18" t="n"/>
      <c r="D188" s="18" t="n"/>
      <c r="E188" s="18" t="n"/>
      <c r="F188" s="18" t="n"/>
      <c r="G188" s="18" t="n"/>
      <c r="H188" s="18" t="n"/>
      <c r="I188" s="20">
        <f>IFERROR(E188-G188,"")</f>
        <v/>
      </c>
      <c r="J188" s="18" t="n"/>
      <c r="K188" s="18" t="n"/>
      <c r="L188" s="18" t="n"/>
    </row>
    <row r="189" ht="18" customHeight="1">
      <c r="A189" s="15" t="n"/>
      <c r="B189" s="15" t="n"/>
      <c r="C189" s="15" t="n"/>
      <c r="D189" s="15" t="n"/>
      <c r="E189" s="15" t="n"/>
      <c r="F189" s="15" t="n"/>
      <c r="G189" s="15" t="n"/>
      <c r="H189" s="15" t="n"/>
      <c r="I189" s="17">
        <f>IFERROR(E189-G189,"")</f>
        <v/>
      </c>
      <c r="J189" s="15" t="n"/>
      <c r="K189" s="15" t="n"/>
      <c r="L189" s="15" t="n"/>
    </row>
    <row r="190" ht="18" customHeight="1">
      <c r="A190" s="18" t="n"/>
      <c r="B190" s="18" t="n"/>
      <c r="C190" s="18" t="n"/>
      <c r="D190" s="18" t="n"/>
      <c r="E190" s="18" t="n"/>
      <c r="F190" s="18" t="n"/>
      <c r="G190" s="18" t="n"/>
      <c r="H190" s="18" t="n"/>
      <c r="I190" s="20">
        <f>IFERROR(E190-G190,"")</f>
        <v/>
      </c>
      <c r="J190" s="18" t="n"/>
      <c r="K190" s="18" t="n"/>
      <c r="L190" s="18" t="n"/>
    </row>
    <row r="191" ht="18" customHeight="1">
      <c r="A191" s="15" t="n"/>
      <c r="B191" s="15" t="n"/>
      <c r="C191" s="15" t="n"/>
      <c r="D191" s="15" t="n"/>
      <c r="E191" s="15" t="n"/>
      <c r="F191" s="15" t="n"/>
      <c r="G191" s="15" t="n"/>
      <c r="H191" s="15" t="n"/>
      <c r="I191" s="17">
        <f>IFERROR(E191-G191,"")</f>
        <v/>
      </c>
      <c r="J191" s="15" t="n"/>
      <c r="K191" s="15" t="n"/>
      <c r="L191" s="15" t="n"/>
    </row>
    <row r="192" ht="18" customHeight="1">
      <c r="A192" s="18" t="n"/>
      <c r="B192" s="18" t="n"/>
      <c r="C192" s="18" t="n"/>
      <c r="D192" s="18" t="n"/>
      <c r="E192" s="18" t="n"/>
      <c r="F192" s="18" t="n"/>
      <c r="G192" s="18" t="n"/>
      <c r="H192" s="18" t="n"/>
      <c r="I192" s="20">
        <f>IFERROR(E192-G192,"")</f>
        <v/>
      </c>
      <c r="J192" s="18" t="n"/>
      <c r="K192" s="18" t="n"/>
      <c r="L192" s="18" t="n"/>
    </row>
    <row r="193" ht="18" customHeight="1">
      <c r="A193" s="15" t="n"/>
      <c r="B193" s="15" t="n"/>
      <c r="C193" s="15" t="n"/>
      <c r="D193" s="15" t="n"/>
      <c r="E193" s="15" t="n"/>
      <c r="F193" s="15" t="n"/>
      <c r="G193" s="15" t="n"/>
      <c r="H193" s="15" t="n"/>
      <c r="I193" s="17">
        <f>IFERROR(E193-G193,"")</f>
        <v/>
      </c>
      <c r="J193" s="15" t="n"/>
      <c r="K193" s="15" t="n"/>
      <c r="L193" s="15" t="n"/>
    </row>
    <row r="194" ht="18" customHeight="1">
      <c r="A194" s="18" t="n"/>
      <c r="B194" s="18" t="n"/>
      <c r="C194" s="18" t="n"/>
      <c r="D194" s="18" t="n"/>
      <c r="E194" s="18" t="n"/>
      <c r="F194" s="18" t="n"/>
      <c r="G194" s="18" t="n"/>
      <c r="H194" s="18" t="n"/>
      <c r="I194" s="20">
        <f>IFERROR(E194-G194,"")</f>
        <v/>
      </c>
      <c r="J194" s="18" t="n"/>
      <c r="K194" s="18" t="n"/>
      <c r="L194" s="18" t="n"/>
    </row>
    <row r="195" ht="18" customHeight="1">
      <c r="A195" s="15" t="n"/>
      <c r="B195" s="15" t="n"/>
      <c r="C195" s="15" t="n"/>
      <c r="D195" s="15" t="n"/>
      <c r="E195" s="15" t="n"/>
      <c r="F195" s="15" t="n"/>
      <c r="G195" s="15" t="n"/>
      <c r="H195" s="15" t="n"/>
      <c r="I195" s="17">
        <f>IFERROR(E195-G195,"")</f>
        <v/>
      </c>
      <c r="J195" s="15" t="n"/>
      <c r="K195" s="15" t="n"/>
      <c r="L195" s="15" t="n"/>
    </row>
    <row r="196" ht="18" customHeight="1">
      <c r="A196" s="18" t="n"/>
      <c r="B196" s="18" t="n"/>
      <c r="C196" s="18" t="n"/>
      <c r="D196" s="18" t="n"/>
      <c r="E196" s="18" t="n"/>
      <c r="F196" s="18" t="n"/>
      <c r="G196" s="18" t="n"/>
      <c r="H196" s="18" t="n"/>
      <c r="I196" s="20">
        <f>IFERROR(E196-G196,"")</f>
        <v/>
      </c>
      <c r="J196" s="18" t="n"/>
      <c r="K196" s="18" t="n"/>
      <c r="L196" s="18" t="n"/>
    </row>
    <row r="197" ht="18" customHeight="1">
      <c r="A197" s="15" t="n"/>
      <c r="B197" s="15" t="n"/>
      <c r="C197" s="15" t="n"/>
      <c r="D197" s="15" t="n"/>
      <c r="E197" s="15" t="n"/>
      <c r="F197" s="15" t="n"/>
      <c r="G197" s="15" t="n"/>
      <c r="H197" s="15" t="n"/>
      <c r="I197" s="17">
        <f>IFERROR(E197-G197,"")</f>
        <v/>
      </c>
      <c r="J197" s="15" t="n"/>
      <c r="K197" s="15" t="n"/>
      <c r="L197" s="15" t="n"/>
    </row>
    <row r="198" ht="18" customHeight="1">
      <c r="A198" s="18" t="n"/>
      <c r="B198" s="18" t="n"/>
      <c r="C198" s="18" t="n"/>
      <c r="D198" s="18" t="n"/>
      <c r="E198" s="18" t="n"/>
      <c r="F198" s="18" t="n"/>
      <c r="G198" s="18" t="n"/>
      <c r="H198" s="18" t="n"/>
      <c r="I198" s="20">
        <f>IFERROR(E198-G198,"")</f>
        <v/>
      </c>
      <c r="J198" s="18" t="n"/>
      <c r="K198" s="18" t="n"/>
      <c r="L198" s="18" t="n"/>
    </row>
    <row r="199" ht="18" customHeight="1">
      <c r="A199" s="15" t="n"/>
      <c r="B199" s="15" t="n"/>
      <c r="C199" s="15" t="n"/>
      <c r="D199" s="15" t="n"/>
      <c r="E199" s="15" t="n"/>
      <c r="F199" s="15" t="n"/>
      <c r="G199" s="15" t="n"/>
      <c r="H199" s="15" t="n"/>
      <c r="I199" s="17">
        <f>IFERROR(E199-G199,"")</f>
        <v/>
      </c>
      <c r="J199" s="15" t="n"/>
      <c r="K199" s="15" t="n"/>
      <c r="L199" s="15" t="n"/>
    </row>
    <row r="200" ht="18" customHeight="1">
      <c r="A200" s="18" t="n"/>
      <c r="B200" s="18" t="n"/>
      <c r="C200" s="18" t="n"/>
      <c r="D200" s="18" t="n"/>
      <c r="E200" s="18" t="n"/>
      <c r="F200" s="18" t="n"/>
      <c r="G200" s="18" t="n"/>
      <c r="H200" s="18" t="n"/>
      <c r="I200" s="20">
        <f>IFERROR(E200-G200,"")</f>
        <v/>
      </c>
      <c r="J200" s="18" t="n"/>
      <c r="K200" s="18" t="n"/>
      <c r="L200" s="18" t="n"/>
    </row>
    <row r="201" ht="18" customHeight="1">
      <c r="A201" s="15" t="n"/>
      <c r="B201" s="15" t="n"/>
      <c r="C201" s="15" t="n"/>
      <c r="D201" s="15" t="n"/>
      <c r="E201" s="15" t="n"/>
      <c r="F201" s="15" t="n"/>
      <c r="G201" s="15" t="n"/>
      <c r="H201" s="15" t="n"/>
      <c r="I201" s="17">
        <f>IFERROR(E201-G201,"")</f>
        <v/>
      </c>
      <c r="J201" s="15" t="n"/>
      <c r="K201" s="15" t="n"/>
      <c r="L201" s="15" t="n"/>
    </row>
    <row r="202" ht="18" customHeight="1">
      <c r="A202" s="18" t="n"/>
      <c r="B202" s="18" t="n"/>
      <c r="C202" s="18" t="n"/>
      <c r="D202" s="18" t="n"/>
      <c r="E202" s="18" t="n"/>
      <c r="F202" s="18" t="n"/>
      <c r="G202" s="18" t="n"/>
      <c r="H202" s="18" t="n"/>
      <c r="I202" s="20">
        <f>IFERROR(E202-G202,"")</f>
        <v/>
      </c>
      <c r="J202" s="18" t="n"/>
      <c r="K202" s="18" t="n"/>
      <c r="L202" s="18" t="n"/>
    </row>
  </sheetData>
  <mergeCells count="1">
    <mergeCell ref="A1:L1"/>
  </mergeCells>
  <conditionalFormatting sqref="K3:K202">
    <cfRule type="expression" priority="1" dxfId="1">
      <formula>K3="Pendente"</formula>
    </cfRule>
    <cfRule type="expression" priority="2" dxfId="0">
      <formula>K3="Antecipado Pago"</formula>
    </cfRule>
    <cfRule type="expression" priority="3" dxfId="2">
      <formula>K3="Quitado"</formula>
    </cfRule>
    <cfRule type="expression" priority="4" dxfId="3">
      <formula>K3="Em Atraso"</formula>
    </cfRule>
  </conditionalFormatting>
  <dataValidations count="2">
    <dataValidation sqref="F3:F202" showDropDown="0" showInputMessage="0" showErrorMessage="0" allowBlank="1" type="list">
      <formula1>"30/70,40/60,50/50,100% antecipado,30 dias,60 dias"</formula1>
    </dataValidation>
    <dataValidation sqref="K3:K202" showDropDown="0" showInputMessage="0" showErrorMessage="0" allowBlank="1" type="list">
      <formula1>"Pendente,Antecipado Pago,Quitado,Em Atraso"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3" customWidth="1" min="9" max="9"/>
  </cols>
  <sheetData>
    <row r="1" ht="32" customHeight="1">
      <c r="B1" s="22" t="inlineStr">
        <is>
          <t>EMPRESA MANUFATUREIRA — PROJECÇÃO DE PAGAMENTOS A FORNECEDORES</t>
        </is>
      </c>
    </row>
    <row r="2" ht="14" customHeight="1"/>
    <row r="3" ht="22" customHeight="1">
      <c r="B3" s="26" t="inlineStr">
        <is>
          <t>Fornecedor / Encomenda</t>
        </is>
      </c>
      <c r="C3" s="27" t="inlineStr">
        <is>
          <t>Abr/2026</t>
        </is>
      </c>
      <c r="D3" s="27" t="inlineStr">
        <is>
          <t>Mai/2026</t>
        </is>
      </c>
      <c r="E3" s="27" t="inlineStr">
        <is>
          <t>Jun/2026</t>
        </is>
      </c>
      <c r="F3" s="27" t="inlineStr">
        <is>
          <t>Jul/2026</t>
        </is>
      </c>
      <c r="G3" s="27" t="inlineStr">
        <is>
          <t>Ago/2026</t>
        </is>
      </c>
      <c r="H3" s="27" t="inlineStr">
        <is>
          <t>Set/2026</t>
        </is>
      </c>
    </row>
    <row r="4" ht="18" customHeight="1">
      <c r="B4" s="28" t="inlineStr">
        <is>
          <t>ENTRADAS — RECEBIMENTOS DE CLIENTES</t>
        </is>
      </c>
      <c r="C4" s="37" t="n"/>
      <c r="D4" s="37" t="n"/>
      <c r="E4" s="37" t="n"/>
      <c r="F4" s="37" t="n"/>
      <c r="G4" s="37" t="n"/>
      <c r="H4" s="38" t="n"/>
    </row>
    <row r="5" ht="18" customHeight="1">
      <c r="B5" s="29" t="inlineStr">
        <is>
          <t>Recebimentos previstos (clientes confirmados)</t>
        </is>
      </c>
      <c r="C5" s="30" t="n">
        <v>0</v>
      </c>
      <c r="D5" s="30" t="n">
        <v>0</v>
      </c>
      <c r="E5" s="30" t="n">
        <v>0</v>
      </c>
      <c r="F5" s="30" t="n">
        <v>0</v>
      </c>
      <c r="G5" s="30" t="n">
        <v>0</v>
      </c>
      <c r="H5" s="30" t="n">
        <v>0</v>
      </c>
    </row>
    <row r="6" ht="18" customHeight="1">
      <c r="B6" s="31" t="inlineStr">
        <is>
          <t>Recebimentos previstos (clientes em negociação)</t>
        </is>
      </c>
      <c r="C6" s="30" t="n">
        <v>0</v>
      </c>
      <c r="D6" s="30" t="n">
        <v>0</v>
      </c>
      <c r="E6" s="30" t="n">
        <v>0</v>
      </c>
      <c r="F6" s="30" t="n">
        <v>0</v>
      </c>
      <c r="G6" s="30" t="n">
        <v>0</v>
      </c>
      <c r="H6" s="30" t="n">
        <v>0</v>
      </c>
    </row>
    <row r="7" ht="6" customHeight="1"/>
    <row r="8" ht="18" customHeight="1">
      <c r="B8" s="32" t="inlineStr">
        <is>
          <t>SAÍDAS — PAGAMENTOS A FORNECEDORES</t>
        </is>
      </c>
      <c r="C8" s="37" t="n"/>
      <c r="D8" s="37" t="n"/>
      <c r="E8" s="37" t="n"/>
      <c r="F8" s="37" t="n"/>
      <c r="G8" s="37" t="n"/>
      <c r="H8" s="38" t="n"/>
    </row>
    <row r="9" ht="18" customHeight="1">
      <c r="B9" s="29" t="inlineStr">
        <is>
          <t>Antecipações a fornecedores (50%)</t>
        </is>
      </c>
      <c r="C9" s="30" t="n">
        <v>0</v>
      </c>
      <c r="D9" s="30" t="n">
        <v>0</v>
      </c>
      <c r="E9" s="30" t="n">
        <v>0</v>
      </c>
      <c r="F9" s="30" t="n">
        <v>0</v>
      </c>
      <c r="G9" s="30" t="n">
        <v>0</v>
      </c>
      <c r="H9" s="30" t="n">
        <v>0</v>
      </c>
    </row>
    <row r="10" ht="18" customHeight="1">
      <c r="B10" s="31" t="inlineStr">
        <is>
          <t>Saldo restante a fornecedores (entrega MP)</t>
        </is>
      </c>
      <c r="C10" s="30" t="n">
        <v>0</v>
      </c>
      <c r="D10" s="30" t="n">
        <v>0</v>
      </c>
      <c r="E10" s="30" t="n">
        <v>0</v>
      </c>
      <c r="F10" s="30" t="n">
        <v>0</v>
      </c>
      <c r="G10" s="30" t="n">
        <v>0</v>
      </c>
      <c r="H10" s="30" t="n">
        <v>0</v>
      </c>
    </row>
    <row r="11" ht="18" customHeight="1">
      <c r="B11" s="29" t="inlineStr">
        <is>
          <t>Fornecedor: Cascos / Estruturas</t>
        </is>
      </c>
      <c r="C11" s="30" t="n">
        <v>0</v>
      </c>
      <c r="D11" s="30" t="n">
        <v>0</v>
      </c>
      <c r="E11" s="30" t="n">
        <v>0</v>
      </c>
      <c r="F11" s="30" t="n">
        <v>0</v>
      </c>
      <c r="G11" s="30" t="n">
        <v>0</v>
      </c>
      <c r="H11" s="30" t="n">
        <v>0</v>
      </c>
    </row>
    <row r="12" ht="18" customHeight="1">
      <c r="B12" s="31" t="inlineStr">
        <is>
          <t>Fornecedor: Tecidos</t>
        </is>
      </c>
      <c r="C12" s="30" t="n">
        <v>0</v>
      </c>
      <c r="D12" s="30" t="n">
        <v>0</v>
      </c>
      <c r="E12" s="30" t="n">
        <v>0</v>
      </c>
      <c r="F12" s="30" t="n">
        <v>0</v>
      </c>
      <c r="G12" s="30" t="n">
        <v>0</v>
      </c>
      <c r="H12" s="30" t="n">
        <v>0</v>
      </c>
    </row>
    <row r="13" ht="18" customHeight="1">
      <c r="B13" s="29" t="inlineStr">
        <is>
          <t>Fornecedor: Espumas</t>
        </is>
      </c>
      <c r="C13" s="30" t="n">
        <v>0</v>
      </c>
      <c r="D13" s="30" t="n">
        <v>0</v>
      </c>
      <c r="E13" s="30" t="n">
        <v>0</v>
      </c>
      <c r="F13" s="30" t="n">
        <v>0</v>
      </c>
      <c r="G13" s="30" t="n">
        <v>0</v>
      </c>
      <c r="H13" s="30" t="n">
        <v>0</v>
      </c>
    </row>
    <row r="14" ht="18" customHeight="1">
      <c r="B14" s="31" t="inlineStr">
        <is>
          <t>Fornecedor: Peças Metálicas</t>
        </is>
      </c>
      <c r="C14" s="30" t="n">
        <v>0</v>
      </c>
      <c r="D14" s="30" t="n">
        <v>0</v>
      </c>
      <c r="E14" s="30" t="n">
        <v>0</v>
      </c>
      <c r="F14" s="30" t="n">
        <v>0</v>
      </c>
      <c r="G14" s="30" t="n">
        <v>0</v>
      </c>
      <c r="H14" s="30" t="n">
        <v>0</v>
      </c>
    </row>
    <row r="15" ht="6" customHeight="1"/>
    <row r="16" ht="18" customHeight="1">
      <c r="B16" s="33" t="inlineStr">
        <is>
          <t>SALDO LÍQUIDO DO PERÍODO</t>
        </is>
      </c>
      <c r="C16" s="37" t="n"/>
      <c r="D16" s="37" t="n"/>
      <c r="E16" s="37" t="n"/>
      <c r="F16" s="37" t="n"/>
      <c r="G16" s="37" t="n"/>
      <c r="H16" s="38" t="n"/>
    </row>
    <row r="17" ht="18" customHeight="1">
      <c r="B17" s="29">
        <f> Entradas − Saídas</f>
        <v/>
      </c>
      <c r="C17" s="34" t="n">
        <v>0</v>
      </c>
      <c r="D17" s="34" t="n">
        <v>0</v>
      </c>
      <c r="E17" s="34" t="n">
        <v>0</v>
      </c>
      <c r="F17" s="34" t="n">
        <v>0</v>
      </c>
      <c r="G17" s="34" t="n">
        <v>0</v>
      </c>
      <c r="H17" s="34" t="n">
        <v>0</v>
      </c>
    </row>
    <row r="18" ht="6" customHeight="1"/>
    <row r="19"/>
    <row r="20" ht="16" customHeight="1">
      <c r="B20" s="21" t="inlineStr">
        <is>
          <t>Células em azul = valores a inserir manualmente  |  Actualizar semanalmente com o dono</t>
        </is>
      </c>
      <c r="C20" s="37" t="n"/>
      <c r="D20" s="37" t="n"/>
      <c r="E20" s="37" t="n"/>
      <c r="F20" s="37" t="n"/>
      <c r="G20" s="37" t="n"/>
      <c r="H20" s="38" t="n"/>
    </row>
  </sheetData>
  <mergeCells count="5">
    <mergeCell ref="B8:H8"/>
    <mergeCell ref="B1:H1"/>
    <mergeCell ref="B4:H4"/>
    <mergeCell ref="B16:H16"/>
    <mergeCell ref="B20:H2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18" customWidth="1" min="3" max="3"/>
    <col width="18" customWidth="1" min="4" max="4"/>
    <col width="28" customWidth="1" min="5" max="5"/>
    <col width="3" customWidth="1" min="6" max="6"/>
  </cols>
  <sheetData>
    <row r="1" ht="32" customHeight="1">
      <c r="B1" s="35" t="inlineStr">
        <is>
          <t>EMPRESA MANUFATUREIRA — CHECKLIST DE VALIDAÇÃO DA FICHA TÉCNICA (BOM)</t>
        </is>
      </c>
    </row>
    <row r="2" ht="14" customHeight="1"/>
    <row r="3" ht="20" customHeight="1">
      <c r="B3" s="33" t="inlineStr">
        <is>
          <t>ID Encomenda:</t>
        </is>
      </c>
      <c r="C3" s="36" t="n"/>
      <c r="D3" s="37" t="n"/>
      <c r="E3" s="38" t="n"/>
    </row>
    <row r="4" ht="20" customHeight="1">
      <c r="B4" s="33" t="inlineStr">
        <is>
          <t>Cliente:</t>
        </is>
      </c>
      <c r="C4" s="36" t="n"/>
      <c r="D4" s="37" t="n"/>
      <c r="E4" s="38" t="n"/>
    </row>
    <row r="5" ht="20" customHeight="1">
      <c r="B5" s="33" t="inlineStr">
        <is>
          <t>Responsável Validação:</t>
        </is>
      </c>
      <c r="C5" s="36" t="n"/>
      <c r="D5" s="37" t="n"/>
      <c r="E5" s="38" t="n"/>
    </row>
    <row r="6" ht="20" customHeight="1">
      <c r="B6" s="33" t="inlineStr">
        <is>
          <t>Data Validação:</t>
        </is>
      </c>
      <c r="C6" s="36" t="n"/>
      <c r="D6" s="37" t="n"/>
      <c r="E6" s="38" t="n"/>
    </row>
    <row r="7" ht="10" customHeight="1"/>
    <row r="8" ht="22" customHeight="1">
      <c r="B8" s="26" t="inlineStr">
        <is>
          <t>ITEM DE VERIFICAÇÃO</t>
        </is>
      </c>
      <c r="C8" s="26" t="inlineStr">
        <is>
          <t>RESPONSÁVEL</t>
        </is>
      </c>
      <c r="D8" s="26" t="inlineStr">
        <is>
          <t>VERIFICADO?</t>
        </is>
      </c>
      <c r="E8" s="26" t="inlineStr">
        <is>
          <t>OBSERVAÇÃO</t>
        </is>
      </c>
    </row>
    <row r="9" ht="18" customHeight="1">
      <c r="B9" s="39" t="inlineStr">
        <is>
          <t xml:space="preserve">  PRÉ-LANÇAMENTO</t>
        </is>
      </c>
      <c r="C9" s="37" t="n"/>
      <c r="D9" s="37" t="n"/>
      <c r="E9" s="38" t="n"/>
    </row>
    <row r="10" ht="20" customHeight="1">
      <c r="B10" s="40" t="inlineStr">
        <is>
          <t>Orçamento do cliente recebido e aprovado por escrito</t>
        </is>
      </c>
      <c r="C10" s="41" t="inlineStr">
        <is>
          <t>Dono</t>
        </is>
      </c>
      <c r="D10" s="42" t="inlineStr">
        <is>
          <t>Pendente</t>
        </is>
      </c>
      <c r="E10" s="43" t="n"/>
    </row>
    <row r="11" ht="20" customHeight="1">
      <c r="B11" s="44" t="inlineStr">
        <is>
          <t>Todos os orçamentos de fornecedores recebidos (casco, tecido, metal, espuma)</t>
        </is>
      </c>
      <c r="C11" s="45" t="inlineStr">
        <is>
          <t>Dono</t>
        </is>
      </c>
      <c r="D11" s="42" t="inlineStr">
        <is>
          <t>Pendente</t>
        </is>
      </c>
      <c r="E11" s="43" t="n"/>
    </row>
    <row r="12" ht="20" customHeight="1">
      <c r="B12" s="40" t="inlineStr">
        <is>
          <t>Margem bruta calculada e aprovada (mínimo definido pela gestão)</t>
        </is>
      </c>
      <c r="C12" s="41" t="inlineStr">
        <is>
          <t>CFO</t>
        </is>
      </c>
      <c r="D12" s="42" t="inlineStr">
        <is>
          <t>Pendente</t>
        </is>
      </c>
      <c r="E12" s="43" t="n"/>
    </row>
    <row r="13" ht="20" customHeight="1">
      <c r="B13" s="44" t="inlineStr">
        <is>
          <t>Condições de pagamento acordadas com cada fornecedor registadas no sistema</t>
        </is>
      </c>
      <c r="C13" s="45" t="inlineStr">
        <is>
          <t>Dono</t>
        </is>
      </c>
      <c r="D13" s="42" t="inlineStr">
        <is>
          <t>Pendente</t>
        </is>
      </c>
      <c r="E13" s="43" t="n"/>
    </row>
    <row r="14" ht="18" customHeight="1">
      <c r="B14" s="39" t="inlineStr">
        <is>
          <t xml:space="preserve">  FICHA TÉCNICA (BOM)</t>
        </is>
      </c>
      <c r="C14" s="37" t="n"/>
      <c r="D14" s="37" t="n"/>
      <c r="E14" s="38" t="n"/>
    </row>
    <row r="15" ht="20" customHeight="1">
      <c r="B15" s="44" t="inlineStr">
        <is>
          <t>Referência do produto correcta e existente no AS/400</t>
        </is>
      </c>
      <c r="C15" s="45" t="inlineStr">
        <is>
          <t>Planeamento</t>
        </is>
      </c>
      <c r="D15" s="42" t="inlineStr">
        <is>
          <t>Pendente</t>
        </is>
      </c>
      <c r="E15" s="43" t="n"/>
    </row>
    <row r="16" ht="20" customHeight="1">
      <c r="B16" s="40" t="inlineStr">
        <is>
          <t>Quantidades de matéria-prima conferidas com o projecto 3D do design</t>
        </is>
      </c>
      <c r="C16" s="41" t="inlineStr">
        <is>
          <t>Planeamento</t>
        </is>
      </c>
      <c r="D16" s="42" t="inlineStr">
        <is>
          <t>Pendente</t>
        </is>
      </c>
      <c r="E16" s="43" t="n"/>
    </row>
    <row r="17" ht="20" customHeight="1">
      <c r="B17" s="44" t="inlineStr">
        <is>
          <t>Medidas do cliente incorporadas correctamente na ficha</t>
        </is>
      </c>
      <c r="C17" s="45" t="inlineStr">
        <is>
          <t>Design</t>
        </is>
      </c>
      <c r="D17" s="42" t="inlineStr">
        <is>
          <t>Pendente</t>
        </is>
      </c>
      <c r="E17" s="43" t="n"/>
    </row>
    <row r="18" ht="20" customHeight="1">
      <c r="B18" s="40" t="inlineStr">
        <is>
          <t>Tecido seleccionado corresponde ao pedido pelo cliente (ref. e cor)</t>
        </is>
      </c>
      <c r="C18" s="41" t="inlineStr">
        <is>
          <t>Design</t>
        </is>
      </c>
      <c r="D18" s="42" t="inlineStr">
        <is>
          <t>Pendente</t>
        </is>
      </c>
      <c r="E18" s="43" t="n"/>
    </row>
    <row r="19" ht="20" customHeight="1">
      <c r="B19" s="44" t="inlineStr">
        <is>
          <t>Espessura de espuma conforme especificação do modelo</t>
        </is>
      </c>
      <c r="C19" s="45" t="inlineStr">
        <is>
          <t>Produção</t>
        </is>
      </c>
      <c r="D19" s="42" t="inlineStr">
        <is>
          <t>Pendente</t>
        </is>
      </c>
      <c r="E19" s="43" t="n"/>
    </row>
    <row r="20" ht="20" customHeight="1">
      <c r="B20" s="40" t="inlineStr">
        <is>
          <t>Estrutura metálica/casco compatível com o modelo</t>
        </is>
      </c>
      <c r="C20" s="41" t="inlineStr">
        <is>
          <t>Produção</t>
        </is>
      </c>
      <c r="D20" s="42" t="inlineStr">
        <is>
          <t>Pendente</t>
        </is>
      </c>
      <c r="E20" s="43" t="n"/>
    </row>
    <row r="21" ht="20" customHeight="1">
      <c r="B21" s="44" t="inlineStr">
        <is>
          <t>Consumo de cola e acessórios estimado correctamente</t>
        </is>
      </c>
      <c r="C21" s="45" t="inlineStr">
        <is>
          <t>Planeamento</t>
        </is>
      </c>
      <c r="D21" s="42" t="inlineStr">
        <is>
          <t>Pendente</t>
        </is>
      </c>
      <c r="E21" s="43" t="n"/>
    </row>
    <row r="22" ht="18" customHeight="1">
      <c r="B22" s="39" t="inlineStr">
        <is>
          <t xml:space="preserve">  ANTES DE GERAR NECESSIDADE DE COMPRA</t>
        </is>
      </c>
      <c r="C22" s="37" t="n"/>
      <c r="D22" s="37" t="n"/>
      <c r="E22" s="38" t="n"/>
    </row>
    <row r="23" ht="20" customHeight="1">
      <c r="B23" s="44" t="inlineStr">
        <is>
          <t>Ficha técnica revista por segundo responsável (dupla conferência)</t>
        </is>
      </c>
      <c r="C23" s="45" t="inlineStr">
        <is>
          <t>Gabriel / CFO</t>
        </is>
      </c>
      <c r="D23" s="42" t="inlineStr">
        <is>
          <t>Pendente</t>
        </is>
      </c>
      <c r="E23" s="43" t="n"/>
    </row>
    <row r="24" ht="20" customHeight="1">
      <c r="B24" s="40" t="inlineStr">
        <is>
          <t>Comparação com ficha de encomenda similar anterior (benchmarking)</t>
        </is>
      </c>
      <c r="C24" s="41" t="inlineStr">
        <is>
          <t>Gabriel</t>
        </is>
      </c>
      <c r="D24" s="42" t="inlineStr">
        <is>
          <t>Pendente</t>
        </is>
      </c>
      <c r="E24" s="43" t="n"/>
    </row>
    <row r="25" ht="20" customHeight="1">
      <c r="B25" s="44" t="inlineStr">
        <is>
          <t>Stock actual verificado — evitar compra de material já disponível</t>
        </is>
      </c>
      <c r="C25" s="45" t="inlineStr">
        <is>
          <t>Armazém</t>
        </is>
      </c>
      <c r="D25" s="42" t="inlineStr">
        <is>
          <t>Pendente</t>
        </is>
      </c>
      <c r="E25" s="43" t="n"/>
    </row>
    <row r="26" ht="20" customHeight="1">
      <c r="B26" s="40" t="inlineStr">
        <is>
          <t>Prazo de entrega do fornecedor confirmado vs. prazo dado ao cliente</t>
        </is>
      </c>
      <c r="C26" s="41" t="inlineStr">
        <is>
          <t>Planeamento</t>
        </is>
      </c>
      <c r="D26" s="42" t="inlineStr">
        <is>
          <t>Pendente</t>
        </is>
      </c>
      <c r="E26" s="43" t="n"/>
    </row>
    <row r="27" ht="20" customHeight="1">
      <c r="B27" s="44" t="inlineStr">
        <is>
          <t>Limite de crédito com fornecedor verificado (saldo devedor em aberto)</t>
        </is>
      </c>
      <c r="C27" s="45" t="inlineStr">
        <is>
          <t>Gabriel</t>
        </is>
      </c>
      <c r="D27" s="42" t="inlineStr">
        <is>
          <t>Pendente</t>
        </is>
      </c>
      <c r="E27" s="43" t="n"/>
    </row>
    <row r="28" ht="18" customHeight="1">
      <c r="B28" s="39" t="inlineStr">
        <is>
          <t xml:space="preserve">  PÓS-LANÇAMENTO</t>
        </is>
      </c>
      <c r="C28" s="37" t="n"/>
      <c r="D28" s="37" t="n"/>
      <c r="E28" s="38" t="n"/>
    </row>
    <row r="29" ht="20" customHeight="1">
      <c r="B29" s="44" t="inlineStr">
        <is>
          <t>Necessidade de compra gerada e enviada ao responsável de compras</t>
        </is>
      </c>
      <c r="C29" s="45" t="inlineStr">
        <is>
          <t>Planeamento</t>
        </is>
      </c>
      <c r="D29" s="42" t="inlineStr">
        <is>
          <t>Pendente</t>
        </is>
      </c>
      <c r="E29" s="43" t="n"/>
    </row>
    <row r="30" ht="20" customHeight="1">
      <c r="B30" s="40" t="inlineStr">
        <is>
          <t>Pedido de compra (PO) aprovado pelo CFO antes do envio ao fornecedor</t>
        </is>
      </c>
      <c r="C30" s="41" t="inlineStr">
        <is>
          <t>CFO</t>
        </is>
      </c>
      <c r="D30" s="42" t="inlineStr">
        <is>
          <t>Pendente</t>
        </is>
      </c>
      <c r="E30" s="43" t="n"/>
    </row>
    <row r="31" ht="20" customHeight="1">
      <c r="B31" s="44" t="inlineStr">
        <is>
          <t>Data de pagamento antecipado registada na aba Fornecedores</t>
        </is>
      </c>
      <c r="C31" s="45" t="inlineStr">
        <is>
          <t>Gabriel</t>
        </is>
      </c>
      <c r="D31" s="42" t="inlineStr">
        <is>
          <t>Pendente</t>
        </is>
      </c>
      <c r="E31" s="43" t="n"/>
    </row>
    <row r="32" ht="20" customHeight="1">
      <c r="B32" s="40" t="inlineStr">
        <is>
          <t>Data prevista de recepção de matéria-prima registada no sistema</t>
        </is>
      </c>
      <c r="C32" s="41" t="inlineStr">
        <is>
          <t>Planeamento</t>
        </is>
      </c>
      <c r="D32" s="42" t="inlineStr">
        <is>
          <t>Pendente</t>
        </is>
      </c>
      <c r="E32" s="43" t="n"/>
    </row>
  </sheetData>
  <mergeCells count="9">
    <mergeCell ref="B9:E9"/>
    <mergeCell ref="B1:E1"/>
    <mergeCell ref="C5:E5"/>
    <mergeCell ref="C4:E4"/>
    <mergeCell ref="C3:E3"/>
    <mergeCell ref="B14:E14"/>
    <mergeCell ref="B28:E28"/>
    <mergeCell ref="B22:E22"/>
    <mergeCell ref="C6:E6"/>
  </mergeCells>
  <conditionalFormatting sqref="D9:D60">
    <cfRule type="expression" priority="1" dxfId="2">
      <formula>D9="✓ OK"</formula>
    </cfRule>
    <cfRule type="expression" priority="2" dxfId="3">
      <formula>D9="✗ NOK"</formula>
    </cfRule>
    <cfRule type="expression" priority="3" dxfId="1">
      <formula>D9="Pendente"</formula>
    </cfRule>
  </conditionalFormatting>
  <dataValidations count="1">
    <dataValidation sqref="D9:D60" showDropDown="0" showInputMessage="0" showErrorMessage="0" allowBlank="1" type="list">
      <formula1>"✓ OK,✗ NOK,N/A,Pendente"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0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0" customWidth="1" min="3" max="3"/>
    <col width="20" customWidth="1" min="4" max="4"/>
    <col width="14" customWidth="1" min="5" max="5"/>
    <col width="36" customWidth="1" min="6" max="6"/>
    <col width="18" customWidth="1" min="7" max="7"/>
    <col width="20" customWidth="1" min="8" max="8"/>
    <col width="16" customWidth="1" min="9" max="9"/>
    <col width="20" customWidth="1" min="10" max="10"/>
    <col width="20" customWidth="1" min="11" max="11"/>
  </cols>
  <sheetData>
    <row r="1" ht="32" customHeight="1">
      <c r="A1" s="22" t="inlineStr">
        <is>
          <t>EMPRESA MANUFATUREIRA — REGISTO DE OCORRÊNCIAS E IRREGULARIDADES</t>
        </is>
      </c>
    </row>
    <row r="2" ht="22" customHeight="1">
      <c r="A2" s="23" t="inlineStr">
        <is>
          <t>Nº</t>
        </is>
      </c>
      <c r="B2" s="23" t="inlineStr">
        <is>
          <t>Data</t>
        </is>
      </c>
      <c r="C2" s="23" t="inlineStr">
        <is>
          <t>ID Encomenda</t>
        </is>
      </c>
      <c r="D2" s="23" t="inlineStr">
        <is>
          <t>Área</t>
        </is>
      </c>
      <c r="E2" s="23" t="inlineStr">
        <is>
          <t>Tipo</t>
        </is>
      </c>
      <c r="F2" s="23" t="inlineStr">
        <is>
          <t>Descrição da Ocorrência</t>
        </is>
      </c>
      <c r="G2" s="23" t="inlineStr">
        <is>
          <t>Impacto (€)</t>
        </is>
      </c>
      <c r="H2" s="23" t="inlineStr">
        <is>
          <t>Acção Tomada</t>
        </is>
      </c>
      <c r="I2" s="23" t="inlineStr">
        <is>
          <t>Estado</t>
        </is>
      </c>
      <c r="J2" s="23" t="inlineStr">
        <is>
          <t>Responsável</t>
        </is>
      </c>
      <c r="K2" s="23" t="inlineStr">
        <is>
          <t>Data Resolução</t>
        </is>
      </c>
    </row>
    <row r="3" ht="22" customHeight="1">
      <c r="A3" s="44" t="n">
        <v>1</v>
      </c>
      <c r="B3" s="46" t="n">
        <v>46037</v>
      </c>
      <c r="C3" s="44" t="inlineStr">
        <is>
          <t>ENC-2026-001</t>
        </is>
      </c>
      <c r="D3" s="44" t="inlineStr">
        <is>
          <t>BOM/ERP</t>
        </is>
      </c>
      <c r="E3" s="44" t="inlineStr">
        <is>
          <t>Erro de Dados</t>
        </is>
      </c>
      <c r="F3" s="44" t="inlineStr">
        <is>
          <t>Discrepâncias entre BOM e consumo real no AS/400 — quantidades de espuma incorrectas em 18 fichas técnicas</t>
        </is>
      </c>
      <c r="G3" s="47" t="n">
        <v>2300</v>
      </c>
      <c r="H3" s="44" t="inlineStr">
        <is>
          <t>Correcção de dados mestres e validação cruzada implementada</t>
        </is>
      </c>
      <c r="I3" s="44" t="inlineStr">
        <is>
          <t>Resolvido</t>
        </is>
      </c>
      <c r="J3" s="44" t="inlineStr">
        <is>
          <t>Gabriel</t>
        </is>
      </c>
      <c r="K3" s="46" t="n">
        <v>46054</v>
      </c>
    </row>
    <row r="4" ht="22" customHeight="1">
      <c r="A4" s="40" t="n">
        <v>2</v>
      </c>
      <c r="B4" s="48" t="n">
        <v>46063</v>
      </c>
      <c r="C4" s="40" t="inlineStr">
        <is>
          <t>ENC-2026-002</t>
        </is>
      </c>
      <c r="D4" s="40" t="inlineStr">
        <is>
          <t>Compras</t>
        </is>
      </c>
      <c r="E4" s="40" t="inlineStr">
        <is>
          <t>Irregularidade</t>
        </is>
      </c>
      <c r="F4" s="40" t="inlineStr">
        <is>
          <t>3 funcionários aprovando e recebendo o mesmo pedido de compra — violação de SoD</t>
        </is>
      </c>
      <c r="G4" s="49" t="n">
        <v>0</v>
      </c>
      <c r="H4" s="40" t="inlineStr">
        <is>
          <t>Implementação de Segregação de Funções e Blind Receiving</t>
        </is>
      </c>
      <c r="I4" s="40" t="inlineStr">
        <is>
          <t>Resolvido</t>
        </is>
      </c>
      <c r="J4" s="40" t="inlineStr">
        <is>
          <t>Gabriel</t>
        </is>
      </c>
      <c r="K4" s="48" t="n">
        <v>46073</v>
      </c>
    </row>
    <row r="5" ht="22" customHeight="1">
      <c r="A5" s="44" t="n">
        <v>3</v>
      </c>
      <c r="B5" s="46" t="n">
        <v>46086</v>
      </c>
      <c r="C5" s="44" t="inlineStr">
        <is>
          <t>ENC-2026-001</t>
        </is>
      </c>
      <c r="D5" s="44" t="inlineStr">
        <is>
          <t>Tesouraria</t>
        </is>
      </c>
      <c r="E5" s="44" t="inlineStr">
        <is>
          <t>Pagamento em Atraso</t>
        </is>
      </c>
      <c r="F5" s="44" t="inlineStr">
        <is>
          <t>Fornecedor Fornecedor Cascos com saldo devedor de €4.100 — bloqueio de entrega comunicado</t>
        </is>
      </c>
      <c r="G5" s="47" t="n">
        <v>4100</v>
      </c>
      <c r="H5" s="44" t="inlineStr">
        <is>
          <t>Pagamento agendado e quitado. Processo de projecção de caixa iniciado</t>
        </is>
      </c>
      <c r="I5" s="44" t="inlineStr">
        <is>
          <t>Resolvido</t>
        </is>
      </c>
      <c r="J5" s="44" t="inlineStr">
        <is>
          <t>CFO</t>
        </is>
      </c>
      <c r="K5" s="46" t="n">
        <v>46089</v>
      </c>
    </row>
    <row r="6" ht="18" customHeight="1">
      <c r="A6" s="18" t="n"/>
      <c r="B6" s="18" t="n"/>
      <c r="C6" s="18" t="n"/>
      <c r="D6" s="18" t="n"/>
      <c r="E6" s="18" t="n"/>
      <c r="F6" s="18" t="n"/>
      <c r="G6" s="18" t="n"/>
      <c r="H6" s="18" t="n"/>
      <c r="I6" s="18" t="n"/>
      <c r="J6" s="18" t="n"/>
      <c r="K6" s="18" t="n"/>
    </row>
    <row r="7" ht="18" customHeight="1">
      <c r="A7" s="15" t="n"/>
      <c r="B7" s="15" t="n"/>
      <c r="C7" s="15" t="n"/>
      <c r="D7" s="15" t="n"/>
      <c r="E7" s="15" t="n"/>
      <c r="F7" s="15" t="n"/>
      <c r="G7" s="15" t="n"/>
      <c r="H7" s="15" t="n"/>
      <c r="I7" s="15" t="n"/>
      <c r="J7" s="15" t="n"/>
      <c r="K7" s="15" t="n"/>
    </row>
    <row r="8" ht="18" customHeight="1">
      <c r="A8" s="18" t="n"/>
      <c r="B8" s="18" t="n"/>
      <c r="C8" s="18" t="n"/>
      <c r="D8" s="18" t="n"/>
      <c r="E8" s="18" t="n"/>
      <c r="F8" s="18" t="n"/>
      <c r="G8" s="18" t="n"/>
      <c r="H8" s="18" t="n"/>
      <c r="I8" s="18" t="n"/>
      <c r="J8" s="18" t="n"/>
      <c r="K8" s="18" t="n"/>
    </row>
    <row r="9" ht="18" customHeight="1">
      <c r="A9" s="15" t="n"/>
      <c r="B9" s="15" t="n"/>
      <c r="C9" s="15" t="n"/>
      <c r="D9" s="15" t="n"/>
      <c r="E9" s="15" t="n"/>
      <c r="F9" s="15" t="n"/>
      <c r="G9" s="15" t="n"/>
      <c r="H9" s="15" t="n"/>
      <c r="I9" s="15" t="n"/>
      <c r="J9" s="15" t="n"/>
      <c r="K9" s="15" t="n"/>
    </row>
    <row r="10" ht="18" customHeight="1">
      <c r="A10" s="18" t="n"/>
      <c r="B10" s="18" t="n"/>
      <c r="C10" s="18" t="n"/>
      <c r="D10" s="18" t="n"/>
      <c r="E10" s="18" t="n"/>
      <c r="F10" s="18" t="n"/>
      <c r="G10" s="18" t="n"/>
      <c r="H10" s="18" t="n"/>
      <c r="I10" s="18" t="n"/>
      <c r="J10" s="18" t="n"/>
      <c r="K10" s="18" t="n"/>
    </row>
    <row r="11" ht="18" customHeight="1">
      <c r="A11" s="15" t="n"/>
      <c r="B11" s="15" t="n"/>
      <c r="C11" s="15" t="n"/>
      <c r="D11" s="15" t="n"/>
      <c r="E11" s="15" t="n"/>
      <c r="F11" s="15" t="n"/>
      <c r="G11" s="15" t="n"/>
      <c r="H11" s="15" t="n"/>
      <c r="I11" s="15" t="n"/>
      <c r="J11" s="15" t="n"/>
      <c r="K11" s="15" t="n"/>
    </row>
    <row r="12" ht="18" customHeight="1">
      <c r="A12" s="18" t="n"/>
      <c r="B12" s="18" t="n"/>
      <c r="C12" s="18" t="n"/>
      <c r="D12" s="18" t="n"/>
      <c r="E12" s="18" t="n"/>
      <c r="F12" s="18" t="n"/>
      <c r="G12" s="18" t="n"/>
      <c r="H12" s="18" t="n"/>
      <c r="I12" s="18" t="n"/>
      <c r="J12" s="18" t="n"/>
      <c r="K12" s="18" t="n"/>
    </row>
    <row r="13" ht="18" customHeight="1">
      <c r="A13" s="15" t="n"/>
      <c r="B13" s="15" t="n"/>
      <c r="C13" s="15" t="n"/>
      <c r="D13" s="15" t="n"/>
      <c r="E13" s="15" t="n"/>
      <c r="F13" s="15" t="n"/>
      <c r="G13" s="15" t="n"/>
      <c r="H13" s="15" t="n"/>
      <c r="I13" s="15" t="n"/>
      <c r="J13" s="15" t="n"/>
      <c r="K13" s="15" t="n"/>
    </row>
    <row r="14" ht="18" customHeight="1">
      <c r="A14" s="18" t="n"/>
      <c r="B14" s="18" t="n"/>
      <c r="C14" s="18" t="n"/>
      <c r="D14" s="18" t="n"/>
      <c r="E14" s="18" t="n"/>
      <c r="F14" s="18" t="n"/>
      <c r="G14" s="18" t="n"/>
      <c r="H14" s="18" t="n"/>
      <c r="I14" s="18" t="n"/>
      <c r="J14" s="18" t="n"/>
      <c r="K14" s="18" t="n"/>
    </row>
    <row r="15" ht="18" customHeight="1">
      <c r="A15" s="15" t="n"/>
      <c r="B15" s="15" t="n"/>
      <c r="C15" s="15" t="n"/>
      <c r="D15" s="15" t="n"/>
      <c r="E15" s="15" t="n"/>
      <c r="F15" s="15" t="n"/>
      <c r="G15" s="15" t="n"/>
      <c r="H15" s="15" t="n"/>
      <c r="I15" s="15" t="n"/>
      <c r="J15" s="15" t="n"/>
      <c r="K15" s="15" t="n"/>
    </row>
    <row r="16" ht="18" customHeight="1">
      <c r="A16" s="18" t="n"/>
      <c r="B16" s="18" t="n"/>
      <c r="C16" s="18" t="n"/>
      <c r="D16" s="18" t="n"/>
      <c r="E16" s="18" t="n"/>
      <c r="F16" s="18" t="n"/>
      <c r="G16" s="18" t="n"/>
      <c r="H16" s="18" t="n"/>
      <c r="I16" s="18" t="n"/>
      <c r="J16" s="18" t="n"/>
      <c r="K16" s="18" t="n"/>
    </row>
    <row r="17" ht="18" customHeight="1">
      <c r="A17" s="15" t="n"/>
      <c r="B17" s="15" t="n"/>
      <c r="C17" s="15" t="n"/>
      <c r="D17" s="15" t="n"/>
      <c r="E17" s="15" t="n"/>
      <c r="F17" s="15" t="n"/>
      <c r="G17" s="15" t="n"/>
      <c r="H17" s="15" t="n"/>
      <c r="I17" s="15" t="n"/>
      <c r="J17" s="15" t="n"/>
      <c r="K17" s="15" t="n"/>
    </row>
    <row r="18" ht="18" customHeight="1">
      <c r="A18" s="18" t="n"/>
      <c r="B18" s="18" t="n"/>
      <c r="C18" s="18" t="n"/>
      <c r="D18" s="18" t="n"/>
      <c r="E18" s="18" t="n"/>
      <c r="F18" s="18" t="n"/>
      <c r="G18" s="18" t="n"/>
      <c r="H18" s="18" t="n"/>
      <c r="I18" s="18" t="n"/>
      <c r="J18" s="18" t="n"/>
      <c r="K18" s="18" t="n"/>
    </row>
    <row r="19" ht="18" customHeight="1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</row>
    <row r="20" ht="18" customHeight="1">
      <c r="A20" s="18" t="n"/>
      <c r="B20" s="18" t="n"/>
      <c r="C20" s="18" t="n"/>
      <c r="D20" s="18" t="n"/>
      <c r="E20" s="18" t="n"/>
      <c r="F20" s="18" t="n"/>
      <c r="G20" s="18" t="n"/>
      <c r="H20" s="18" t="n"/>
      <c r="I20" s="18" t="n"/>
      <c r="J20" s="18" t="n"/>
      <c r="K20" s="18" t="n"/>
    </row>
    <row r="21" ht="18" customHeight="1">
      <c r="A21" s="15" t="n"/>
      <c r="B21" s="15" t="n"/>
      <c r="C21" s="15" t="n"/>
      <c r="D21" s="15" t="n"/>
      <c r="E21" s="15" t="n"/>
      <c r="F21" s="15" t="n"/>
      <c r="G21" s="15" t="n"/>
      <c r="H21" s="15" t="n"/>
      <c r="I21" s="15" t="n"/>
      <c r="J21" s="15" t="n"/>
      <c r="K21" s="15" t="n"/>
    </row>
    <row r="22" ht="18" customHeight="1">
      <c r="A22" s="18" t="n"/>
      <c r="B22" s="18" t="n"/>
      <c r="C22" s="18" t="n"/>
      <c r="D22" s="18" t="n"/>
      <c r="E22" s="18" t="n"/>
      <c r="F22" s="18" t="n"/>
      <c r="G22" s="18" t="n"/>
      <c r="H22" s="18" t="n"/>
      <c r="I22" s="18" t="n"/>
      <c r="J22" s="18" t="n"/>
      <c r="K22" s="18" t="n"/>
    </row>
    <row r="23" ht="18" customHeight="1">
      <c r="A23" s="15" t="n"/>
      <c r="B23" s="15" t="n"/>
      <c r="C23" s="15" t="n"/>
      <c r="D23" s="15" t="n"/>
      <c r="E23" s="15" t="n"/>
      <c r="F23" s="15" t="n"/>
      <c r="G23" s="15" t="n"/>
      <c r="H23" s="15" t="n"/>
      <c r="I23" s="15" t="n"/>
      <c r="J23" s="15" t="n"/>
      <c r="K23" s="15" t="n"/>
    </row>
    <row r="24" ht="18" customHeight="1">
      <c r="A24" s="18" t="n"/>
      <c r="B24" s="18" t="n"/>
      <c r="C24" s="18" t="n"/>
      <c r="D24" s="18" t="n"/>
      <c r="E24" s="18" t="n"/>
      <c r="F24" s="18" t="n"/>
      <c r="G24" s="18" t="n"/>
      <c r="H24" s="18" t="n"/>
      <c r="I24" s="18" t="n"/>
      <c r="J24" s="18" t="n"/>
      <c r="K24" s="18" t="n"/>
    </row>
    <row r="25" ht="18" customHeight="1">
      <c r="A25" s="15" t="n"/>
      <c r="B25" s="15" t="n"/>
      <c r="C25" s="15" t="n"/>
      <c r="D25" s="15" t="n"/>
      <c r="E25" s="15" t="n"/>
      <c r="F25" s="15" t="n"/>
      <c r="G25" s="15" t="n"/>
      <c r="H25" s="15" t="n"/>
      <c r="I25" s="15" t="n"/>
      <c r="J25" s="15" t="n"/>
      <c r="K25" s="15" t="n"/>
    </row>
    <row r="26" ht="18" customHeight="1">
      <c r="A26" s="18" t="n"/>
      <c r="B26" s="18" t="n"/>
      <c r="C26" s="18" t="n"/>
      <c r="D26" s="18" t="n"/>
      <c r="E26" s="18" t="n"/>
      <c r="F26" s="18" t="n"/>
      <c r="G26" s="18" t="n"/>
      <c r="H26" s="18" t="n"/>
      <c r="I26" s="18" t="n"/>
      <c r="J26" s="18" t="n"/>
      <c r="K26" s="18" t="n"/>
    </row>
    <row r="27" ht="18" customHeight="1">
      <c r="A27" s="15" t="n"/>
      <c r="B27" s="15" t="n"/>
      <c r="C27" s="15" t="n"/>
      <c r="D27" s="15" t="n"/>
      <c r="E27" s="15" t="n"/>
      <c r="F27" s="15" t="n"/>
      <c r="G27" s="15" t="n"/>
      <c r="H27" s="15" t="n"/>
      <c r="I27" s="15" t="n"/>
      <c r="J27" s="15" t="n"/>
      <c r="K27" s="15" t="n"/>
    </row>
    <row r="28" ht="18" customHeight="1">
      <c r="A28" s="18" t="n"/>
      <c r="B28" s="18" t="n"/>
      <c r="C28" s="18" t="n"/>
      <c r="D28" s="18" t="n"/>
      <c r="E28" s="18" t="n"/>
      <c r="F28" s="18" t="n"/>
      <c r="G28" s="18" t="n"/>
      <c r="H28" s="18" t="n"/>
      <c r="I28" s="18" t="n"/>
      <c r="J28" s="18" t="n"/>
      <c r="K28" s="18" t="n"/>
    </row>
    <row r="29" ht="18" customHeight="1">
      <c r="A29" s="15" t="n"/>
      <c r="B29" s="15" t="n"/>
      <c r="C29" s="15" t="n"/>
      <c r="D29" s="15" t="n"/>
      <c r="E29" s="15" t="n"/>
      <c r="F29" s="15" t="n"/>
      <c r="G29" s="15" t="n"/>
      <c r="H29" s="15" t="n"/>
      <c r="I29" s="15" t="n"/>
      <c r="J29" s="15" t="n"/>
      <c r="K29" s="15" t="n"/>
    </row>
    <row r="30" ht="18" customHeight="1">
      <c r="A30" s="18" t="n"/>
      <c r="B30" s="18" t="n"/>
      <c r="C30" s="18" t="n"/>
      <c r="D30" s="18" t="n"/>
      <c r="E30" s="18" t="n"/>
      <c r="F30" s="18" t="n"/>
      <c r="G30" s="18" t="n"/>
      <c r="H30" s="18" t="n"/>
      <c r="I30" s="18" t="n"/>
      <c r="J30" s="18" t="n"/>
      <c r="K30" s="18" t="n"/>
    </row>
    <row r="31" ht="18" customHeight="1">
      <c r="A31" s="15" t="n"/>
      <c r="B31" s="15" t="n"/>
      <c r="C31" s="15" t="n"/>
      <c r="D31" s="15" t="n"/>
      <c r="E31" s="15" t="n"/>
      <c r="F31" s="15" t="n"/>
      <c r="G31" s="15" t="n"/>
      <c r="H31" s="15" t="n"/>
      <c r="I31" s="15" t="n"/>
      <c r="J31" s="15" t="n"/>
      <c r="K31" s="15" t="n"/>
    </row>
    <row r="32" ht="18" customHeight="1">
      <c r="A32" s="18" t="n"/>
      <c r="B32" s="18" t="n"/>
      <c r="C32" s="18" t="n"/>
      <c r="D32" s="18" t="n"/>
      <c r="E32" s="18" t="n"/>
      <c r="F32" s="18" t="n"/>
      <c r="G32" s="18" t="n"/>
      <c r="H32" s="18" t="n"/>
      <c r="I32" s="18" t="n"/>
      <c r="J32" s="18" t="n"/>
      <c r="K32" s="18" t="n"/>
    </row>
    <row r="33" ht="18" customHeight="1">
      <c r="A33" s="15" t="n"/>
      <c r="B33" s="15" t="n"/>
      <c r="C33" s="15" t="n"/>
      <c r="D33" s="15" t="n"/>
      <c r="E33" s="15" t="n"/>
      <c r="F33" s="15" t="n"/>
      <c r="G33" s="15" t="n"/>
      <c r="H33" s="15" t="n"/>
      <c r="I33" s="15" t="n"/>
      <c r="J33" s="15" t="n"/>
      <c r="K33" s="15" t="n"/>
    </row>
    <row r="34" ht="18" customHeight="1">
      <c r="A34" s="18" t="n"/>
      <c r="B34" s="18" t="n"/>
      <c r="C34" s="18" t="n"/>
      <c r="D34" s="18" t="n"/>
      <c r="E34" s="18" t="n"/>
      <c r="F34" s="18" t="n"/>
      <c r="G34" s="18" t="n"/>
      <c r="H34" s="18" t="n"/>
      <c r="I34" s="18" t="n"/>
      <c r="J34" s="18" t="n"/>
      <c r="K34" s="18" t="n"/>
    </row>
    <row r="35" ht="18" customHeight="1">
      <c r="A35" s="15" t="n"/>
      <c r="B35" s="15" t="n"/>
      <c r="C35" s="15" t="n"/>
      <c r="D35" s="15" t="n"/>
      <c r="E35" s="15" t="n"/>
      <c r="F35" s="15" t="n"/>
      <c r="G35" s="15" t="n"/>
      <c r="H35" s="15" t="n"/>
      <c r="I35" s="15" t="n"/>
      <c r="J35" s="15" t="n"/>
      <c r="K35" s="15" t="n"/>
    </row>
    <row r="36" ht="18" customHeight="1">
      <c r="A36" s="18" t="n"/>
      <c r="B36" s="18" t="n"/>
      <c r="C36" s="18" t="n"/>
      <c r="D36" s="18" t="n"/>
      <c r="E36" s="18" t="n"/>
      <c r="F36" s="18" t="n"/>
      <c r="G36" s="18" t="n"/>
      <c r="H36" s="18" t="n"/>
      <c r="I36" s="18" t="n"/>
      <c r="J36" s="18" t="n"/>
      <c r="K36" s="18" t="n"/>
    </row>
    <row r="37" ht="18" customHeight="1">
      <c r="A37" s="15" t="n"/>
      <c r="B37" s="15" t="n"/>
      <c r="C37" s="15" t="n"/>
      <c r="D37" s="15" t="n"/>
      <c r="E37" s="15" t="n"/>
      <c r="F37" s="15" t="n"/>
      <c r="G37" s="15" t="n"/>
      <c r="H37" s="15" t="n"/>
      <c r="I37" s="15" t="n"/>
      <c r="J37" s="15" t="n"/>
      <c r="K37" s="15" t="n"/>
    </row>
    <row r="38" ht="18" customHeight="1">
      <c r="A38" s="18" t="n"/>
      <c r="B38" s="18" t="n"/>
      <c r="C38" s="18" t="n"/>
      <c r="D38" s="18" t="n"/>
      <c r="E38" s="18" t="n"/>
      <c r="F38" s="18" t="n"/>
      <c r="G38" s="18" t="n"/>
      <c r="H38" s="18" t="n"/>
      <c r="I38" s="18" t="n"/>
      <c r="J38" s="18" t="n"/>
      <c r="K38" s="18" t="n"/>
    </row>
    <row r="39" ht="18" customHeight="1">
      <c r="A39" s="15" t="n"/>
      <c r="B39" s="15" t="n"/>
      <c r="C39" s="15" t="n"/>
      <c r="D39" s="15" t="n"/>
      <c r="E39" s="15" t="n"/>
      <c r="F39" s="15" t="n"/>
      <c r="G39" s="15" t="n"/>
      <c r="H39" s="15" t="n"/>
      <c r="I39" s="15" t="n"/>
      <c r="J39" s="15" t="n"/>
      <c r="K39" s="15" t="n"/>
    </row>
    <row r="40" ht="18" customHeight="1">
      <c r="A40" s="18" t="n"/>
      <c r="B40" s="18" t="n"/>
      <c r="C40" s="18" t="n"/>
      <c r="D40" s="18" t="n"/>
      <c r="E40" s="18" t="n"/>
      <c r="F40" s="18" t="n"/>
      <c r="G40" s="18" t="n"/>
      <c r="H40" s="18" t="n"/>
      <c r="I40" s="18" t="n"/>
      <c r="J40" s="18" t="n"/>
      <c r="K40" s="18" t="n"/>
    </row>
    <row r="41" ht="18" customHeight="1">
      <c r="A41" s="15" t="n"/>
      <c r="B41" s="15" t="n"/>
      <c r="C41" s="15" t="n"/>
      <c r="D41" s="15" t="n"/>
      <c r="E41" s="15" t="n"/>
      <c r="F41" s="15" t="n"/>
      <c r="G41" s="15" t="n"/>
      <c r="H41" s="15" t="n"/>
      <c r="I41" s="15" t="n"/>
      <c r="J41" s="15" t="n"/>
      <c r="K41" s="15" t="n"/>
    </row>
    <row r="42" ht="18" customHeight="1">
      <c r="A42" s="18" t="n"/>
      <c r="B42" s="18" t="n"/>
      <c r="C42" s="18" t="n"/>
      <c r="D42" s="18" t="n"/>
      <c r="E42" s="18" t="n"/>
      <c r="F42" s="18" t="n"/>
      <c r="G42" s="18" t="n"/>
      <c r="H42" s="18" t="n"/>
      <c r="I42" s="18" t="n"/>
      <c r="J42" s="18" t="n"/>
      <c r="K42" s="18" t="n"/>
    </row>
    <row r="43" ht="18" customHeight="1">
      <c r="A43" s="15" t="n"/>
      <c r="B43" s="15" t="n"/>
      <c r="C43" s="15" t="n"/>
      <c r="D43" s="15" t="n"/>
      <c r="E43" s="15" t="n"/>
      <c r="F43" s="15" t="n"/>
      <c r="G43" s="15" t="n"/>
      <c r="H43" s="15" t="n"/>
      <c r="I43" s="15" t="n"/>
      <c r="J43" s="15" t="n"/>
      <c r="K43" s="15" t="n"/>
    </row>
    <row r="44" ht="18" customHeight="1">
      <c r="A44" s="18" t="n"/>
      <c r="B44" s="18" t="n"/>
      <c r="C44" s="18" t="n"/>
      <c r="D44" s="18" t="n"/>
      <c r="E44" s="18" t="n"/>
      <c r="F44" s="18" t="n"/>
      <c r="G44" s="18" t="n"/>
      <c r="H44" s="18" t="n"/>
      <c r="I44" s="18" t="n"/>
      <c r="J44" s="18" t="n"/>
      <c r="K44" s="18" t="n"/>
    </row>
    <row r="45" ht="18" customHeight="1">
      <c r="A45" s="15" t="n"/>
      <c r="B45" s="15" t="n"/>
      <c r="C45" s="15" t="n"/>
      <c r="D45" s="15" t="n"/>
      <c r="E45" s="15" t="n"/>
      <c r="F45" s="15" t="n"/>
      <c r="G45" s="15" t="n"/>
      <c r="H45" s="15" t="n"/>
      <c r="I45" s="15" t="n"/>
      <c r="J45" s="15" t="n"/>
      <c r="K45" s="15" t="n"/>
    </row>
    <row r="46" ht="18" customHeight="1">
      <c r="A46" s="18" t="n"/>
      <c r="B46" s="18" t="n"/>
      <c r="C46" s="18" t="n"/>
      <c r="D46" s="18" t="n"/>
      <c r="E46" s="18" t="n"/>
      <c r="F46" s="18" t="n"/>
      <c r="G46" s="18" t="n"/>
      <c r="H46" s="18" t="n"/>
      <c r="I46" s="18" t="n"/>
      <c r="J46" s="18" t="n"/>
      <c r="K46" s="18" t="n"/>
    </row>
    <row r="47" ht="18" customHeight="1">
      <c r="A47" s="15" t="n"/>
      <c r="B47" s="15" t="n"/>
      <c r="C47" s="15" t="n"/>
      <c r="D47" s="15" t="n"/>
      <c r="E47" s="15" t="n"/>
      <c r="F47" s="15" t="n"/>
      <c r="G47" s="15" t="n"/>
      <c r="H47" s="15" t="n"/>
      <c r="I47" s="15" t="n"/>
      <c r="J47" s="15" t="n"/>
      <c r="K47" s="15" t="n"/>
    </row>
    <row r="48" ht="18" customHeight="1">
      <c r="A48" s="18" t="n"/>
      <c r="B48" s="18" t="n"/>
      <c r="C48" s="18" t="n"/>
      <c r="D48" s="18" t="n"/>
      <c r="E48" s="18" t="n"/>
      <c r="F48" s="18" t="n"/>
      <c r="G48" s="18" t="n"/>
      <c r="H48" s="18" t="n"/>
      <c r="I48" s="18" t="n"/>
      <c r="J48" s="18" t="n"/>
      <c r="K48" s="18" t="n"/>
    </row>
    <row r="49" ht="18" customHeight="1">
      <c r="A49" s="15" t="n"/>
      <c r="B49" s="15" t="n"/>
      <c r="C49" s="15" t="n"/>
      <c r="D49" s="15" t="n"/>
      <c r="E49" s="15" t="n"/>
      <c r="F49" s="15" t="n"/>
      <c r="G49" s="15" t="n"/>
      <c r="H49" s="15" t="n"/>
      <c r="I49" s="15" t="n"/>
      <c r="J49" s="15" t="n"/>
      <c r="K49" s="15" t="n"/>
    </row>
    <row r="50" ht="18" customHeight="1">
      <c r="A50" s="18" t="n"/>
      <c r="B50" s="18" t="n"/>
      <c r="C50" s="18" t="n"/>
      <c r="D50" s="18" t="n"/>
      <c r="E50" s="18" t="n"/>
      <c r="F50" s="18" t="n"/>
      <c r="G50" s="18" t="n"/>
      <c r="H50" s="18" t="n"/>
      <c r="I50" s="18" t="n"/>
      <c r="J50" s="18" t="n"/>
      <c r="K50" s="18" t="n"/>
    </row>
    <row r="51" ht="18" customHeight="1">
      <c r="A51" s="15" t="n"/>
      <c r="B51" s="15" t="n"/>
      <c r="C51" s="15" t="n"/>
      <c r="D51" s="15" t="n"/>
      <c r="E51" s="15" t="n"/>
      <c r="F51" s="15" t="n"/>
      <c r="G51" s="15" t="n"/>
      <c r="H51" s="15" t="n"/>
      <c r="I51" s="15" t="n"/>
      <c r="J51" s="15" t="n"/>
      <c r="K51" s="15" t="n"/>
    </row>
    <row r="52" ht="18" customHeight="1">
      <c r="A52" s="18" t="n"/>
      <c r="B52" s="18" t="n"/>
      <c r="C52" s="18" t="n"/>
      <c r="D52" s="18" t="n"/>
      <c r="E52" s="18" t="n"/>
      <c r="F52" s="18" t="n"/>
      <c r="G52" s="18" t="n"/>
      <c r="H52" s="18" t="n"/>
      <c r="I52" s="18" t="n"/>
      <c r="J52" s="18" t="n"/>
      <c r="K52" s="18" t="n"/>
    </row>
    <row r="53" ht="18" customHeight="1">
      <c r="A53" s="15" t="n"/>
      <c r="B53" s="15" t="n"/>
      <c r="C53" s="15" t="n"/>
      <c r="D53" s="15" t="n"/>
      <c r="E53" s="15" t="n"/>
      <c r="F53" s="15" t="n"/>
      <c r="G53" s="15" t="n"/>
      <c r="H53" s="15" t="n"/>
      <c r="I53" s="15" t="n"/>
      <c r="J53" s="15" t="n"/>
      <c r="K53" s="15" t="n"/>
    </row>
    <row r="54" ht="18" customHeight="1">
      <c r="A54" s="18" t="n"/>
      <c r="B54" s="18" t="n"/>
      <c r="C54" s="18" t="n"/>
      <c r="D54" s="18" t="n"/>
      <c r="E54" s="18" t="n"/>
      <c r="F54" s="18" t="n"/>
      <c r="G54" s="18" t="n"/>
      <c r="H54" s="18" t="n"/>
      <c r="I54" s="18" t="n"/>
      <c r="J54" s="18" t="n"/>
      <c r="K54" s="18" t="n"/>
    </row>
    <row r="55" ht="18" customHeight="1">
      <c r="A55" s="15" t="n"/>
      <c r="B55" s="15" t="n"/>
      <c r="C55" s="15" t="n"/>
      <c r="D55" s="15" t="n"/>
      <c r="E55" s="15" t="n"/>
      <c r="F55" s="15" t="n"/>
      <c r="G55" s="15" t="n"/>
      <c r="H55" s="15" t="n"/>
      <c r="I55" s="15" t="n"/>
      <c r="J55" s="15" t="n"/>
      <c r="K55" s="15" t="n"/>
    </row>
    <row r="56" ht="18" customHeight="1">
      <c r="A56" s="18" t="n"/>
      <c r="B56" s="18" t="n"/>
      <c r="C56" s="18" t="n"/>
      <c r="D56" s="18" t="n"/>
      <c r="E56" s="18" t="n"/>
      <c r="F56" s="18" t="n"/>
      <c r="G56" s="18" t="n"/>
      <c r="H56" s="18" t="n"/>
      <c r="I56" s="18" t="n"/>
      <c r="J56" s="18" t="n"/>
      <c r="K56" s="18" t="n"/>
    </row>
    <row r="57" ht="18" customHeight="1">
      <c r="A57" s="15" t="n"/>
      <c r="B57" s="15" t="n"/>
      <c r="C57" s="15" t="n"/>
      <c r="D57" s="15" t="n"/>
      <c r="E57" s="15" t="n"/>
      <c r="F57" s="15" t="n"/>
      <c r="G57" s="15" t="n"/>
      <c r="H57" s="15" t="n"/>
      <c r="I57" s="15" t="n"/>
      <c r="J57" s="15" t="n"/>
      <c r="K57" s="15" t="n"/>
    </row>
    <row r="58" ht="18" customHeight="1">
      <c r="A58" s="18" t="n"/>
      <c r="B58" s="18" t="n"/>
      <c r="C58" s="18" t="n"/>
      <c r="D58" s="18" t="n"/>
      <c r="E58" s="18" t="n"/>
      <c r="F58" s="18" t="n"/>
      <c r="G58" s="18" t="n"/>
      <c r="H58" s="18" t="n"/>
      <c r="I58" s="18" t="n"/>
      <c r="J58" s="18" t="n"/>
      <c r="K58" s="18" t="n"/>
    </row>
    <row r="59" ht="18" customHeight="1">
      <c r="A59" s="15" t="n"/>
      <c r="B59" s="15" t="n"/>
      <c r="C59" s="15" t="n"/>
      <c r="D59" s="15" t="n"/>
      <c r="E59" s="15" t="n"/>
      <c r="F59" s="15" t="n"/>
      <c r="G59" s="15" t="n"/>
      <c r="H59" s="15" t="n"/>
      <c r="I59" s="15" t="n"/>
      <c r="J59" s="15" t="n"/>
      <c r="K59" s="15" t="n"/>
    </row>
    <row r="60" ht="18" customHeight="1">
      <c r="A60" s="18" t="n"/>
      <c r="B60" s="18" t="n"/>
      <c r="C60" s="18" t="n"/>
      <c r="D60" s="18" t="n"/>
      <c r="E60" s="18" t="n"/>
      <c r="F60" s="18" t="n"/>
      <c r="G60" s="18" t="n"/>
      <c r="H60" s="18" t="n"/>
      <c r="I60" s="18" t="n"/>
      <c r="J60" s="18" t="n"/>
      <c r="K60" s="18" t="n"/>
    </row>
    <row r="61" ht="18" customHeight="1">
      <c r="A61" s="15" t="n"/>
      <c r="B61" s="15" t="n"/>
      <c r="C61" s="15" t="n"/>
      <c r="D61" s="15" t="n"/>
      <c r="E61" s="15" t="n"/>
      <c r="F61" s="15" t="n"/>
      <c r="G61" s="15" t="n"/>
      <c r="H61" s="15" t="n"/>
      <c r="I61" s="15" t="n"/>
      <c r="J61" s="15" t="n"/>
      <c r="K61" s="15" t="n"/>
    </row>
    <row r="62" ht="18" customHeight="1">
      <c r="A62" s="18" t="n"/>
      <c r="B62" s="18" t="n"/>
      <c r="C62" s="18" t="n"/>
      <c r="D62" s="18" t="n"/>
      <c r="E62" s="18" t="n"/>
      <c r="F62" s="18" t="n"/>
      <c r="G62" s="18" t="n"/>
      <c r="H62" s="18" t="n"/>
      <c r="I62" s="18" t="n"/>
      <c r="J62" s="18" t="n"/>
      <c r="K62" s="18" t="n"/>
    </row>
    <row r="63" ht="18" customHeight="1">
      <c r="A63" s="15" t="n"/>
      <c r="B63" s="15" t="n"/>
      <c r="C63" s="15" t="n"/>
      <c r="D63" s="15" t="n"/>
      <c r="E63" s="15" t="n"/>
      <c r="F63" s="15" t="n"/>
      <c r="G63" s="15" t="n"/>
      <c r="H63" s="15" t="n"/>
      <c r="I63" s="15" t="n"/>
      <c r="J63" s="15" t="n"/>
      <c r="K63" s="15" t="n"/>
    </row>
    <row r="64" ht="18" customHeight="1">
      <c r="A64" s="18" t="n"/>
      <c r="B64" s="18" t="n"/>
      <c r="C64" s="18" t="n"/>
      <c r="D64" s="18" t="n"/>
      <c r="E64" s="18" t="n"/>
      <c r="F64" s="18" t="n"/>
      <c r="G64" s="18" t="n"/>
      <c r="H64" s="18" t="n"/>
      <c r="I64" s="18" t="n"/>
      <c r="J64" s="18" t="n"/>
      <c r="K64" s="18" t="n"/>
    </row>
    <row r="65" ht="18" customHeight="1">
      <c r="A65" s="15" t="n"/>
      <c r="B65" s="15" t="n"/>
      <c r="C65" s="15" t="n"/>
      <c r="D65" s="15" t="n"/>
      <c r="E65" s="15" t="n"/>
      <c r="F65" s="15" t="n"/>
      <c r="G65" s="15" t="n"/>
      <c r="H65" s="15" t="n"/>
      <c r="I65" s="15" t="n"/>
      <c r="J65" s="15" t="n"/>
      <c r="K65" s="15" t="n"/>
    </row>
    <row r="66" ht="18" customHeight="1">
      <c r="A66" s="18" t="n"/>
      <c r="B66" s="18" t="n"/>
      <c r="C66" s="18" t="n"/>
      <c r="D66" s="18" t="n"/>
      <c r="E66" s="18" t="n"/>
      <c r="F66" s="18" t="n"/>
      <c r="G66" s="18" t="n"/>
      <c r="H66" s="18" t="n"/>
      <c r="I66" s="18" t="n"/>
      <c r="J66" s="18" t="n"/>
      <c r="K66" s="18" t="n"/>
    </row>
    <row r="67" ht="18" customHeight="1">
      <c r="A67" s="15" t="n"/>
      <c r="B67" s="15" t="n"/>
      <c r="C67" s="15" t="n"/>
      <c r="D67" s="15" t="n"/>
      <c r="E67" s="15" t="n"/>
      <c r="F67" s="15" t="n"/>
      <c r="G67" s="15" t="n"/>
      <c r="H67" s="15" t="n"/>
      <c r="I67" s="15" t="n"/>
      <c r="J67" s="15" t="n"/>
      <c r="K67" s="15" t="n"/>
    </row>
    <row r="68" ht="18" customHeight="1">
      <c r="A68" s="18" t="n"/>
      <c r="B68" s="18" t="n"/>
      <c r="C68" s="18" t="n"/>
      <c r="D68" s="18" t="n"/>
      <c r="E68" s="18" t="n"/>
      <c r="F68" s="18" t="n"/>
      <c r="G68" s="18" t="n"/>
      <c r="H68" s="18" t="n"/>
      <c r="I68" s="18" t="n"/>
      <c r="J68" s="18" t="n"/>
      <c r="K68" s="18" t="n"/>
    </row>
    <row r="69" ht="18" customHeight="1">
      <c r="A69" s="15" t="n"/>
      <c r="B69" s="15" t="n"/>
      <c r="C69" s="15" t="n"/>
      <c r="D69" s="15" t="n"/>
      <c r="E69" s="15" t="n"/>
      <c r="F69" s="15" t="n"/>
      <c r="G69" s="15" t="n"/>
      <c r="H69" s="15" t="n"/>
      <c r="I69" s="15" t="n"/>
      <c r="J69" s="15" t="n"/>
      <c r="K69" s="15" t="n"/>
    </row>
    <row r="70" ht="18" customHeight="1">
      <c r="A70" s="18" t="n"/>
      <c r="B70" s="18" t="n"/>
      <c r="C70" s="18" t="n"/>
      <c r="D70" s="18" t="n"/>
      <c r="E70" s="18" t="n"/>
      <c r="F70" s="18" t="n"/>
      <c r="G70" s="18" t="n"/>
      <c r="H70" s="18" t="n"/>
      <c r="I70" s="18" t="n"/>
      <c r="J70" s="18" t="n"/>
      <c r="K70" s="18" t="n"/>
    </row>
    <row r="71" ht="18" customHeight="1">
      <c r="A71" s="15" t="n"/>
      <c r="B71" s="15" t="n"/>
      <c r="C71" s="15" t="n"/>
      <c r="D71" s="15" t="n"/>
      <c r="E71" s="15" t="n"/>
      <c r="F71" s="15" t="n"/>
      <c r="G71" s="15" t="n"/>
      <c r="H71" s="15" t="n"/>
      <c r="I71" s="15" t="n"/>
      <c r="J71" s="15" t="n"/>
      <c r="K71" s="15" t="n"/>
    </row>
    <row r="72" ht="18" customHeight="1">
      <c r="A72" s="18" t="n"/>
      <c r="B72" s="18" t="n"/>
      <c r="C72" s="18" t="n"/>
      <c r="D72" s="18" t="n"/>
      <c r="E72" s="18" t="n"/>
      <c r="F72" s="18" t="n"/>
      <c r="G72" s="18" t="n"/>
      <c r="H72" s="18" t="n"/>
      <c r="I72" s="18" t="n"/>
      <c r="J72" s="18" t="n"/>
      <c r="K72" s="18" t="n"/>
    </row>
    <row r="73" ht="18" customHeight="1">
      <c r="A73" s="15" t="n"/>
      <c r="B73" s="15" t="n"/>
      <c r="C73" s="15" t="n"/>
      <c r="D73" s="15" t="n"/>
      <c r="E73" s="15" t="n"/>
      <c r="F73" s="15" t="n"/>
      <c r="G73" s="15" t="n"/>
      <c r="H73" s="15" t="n"/>
      <c r="I73" s="15" t="n"/>
      <c r="J73" s="15" t="n"/>
      <c r="K73" s="15" t="n"/>
    </row>
    <row r="74" ht="18" customHeight="1">
      <c r="A74" s="18" t="n"/>
      <c r="B74" s="18" t="n"/>
      <c r="C74" s="18" t="n"/>
      <c r="D74" s="18" t="n"/>
      <c r="E74" s="18" t="n"/>
      <c r="F74" s="18" t="n"/>
      <c r="G74" s="18" t="n"/>
      <c r="H74" s="18" t="n"/>
      <c r="I74" s="18" t="n"/>
      <c r="J74" s="18" t="n"/>
      <c r="K74" s="18" t="n"/>
    </row>
    <row r="75" ht="18" customHeight="1">
      <c r="A75" s="15" t="n"/>
      <c r="B75" s="15" t="n"/>
      <c r="C75" s="15" t="n"/>
      <c r="D75" s="15" t="n"/>
      <c r="E75" s="15" t="n"/>
      <c r="F75" s="15" t="n"/>
      <c r="G75" s="15" t="n"/>
      <c r="H75" s="15" t="n"/>
      <c r="I75" s="15" t="n"/>
      <c r="J75" s="15" t="n"/>
      <c r="K75" s="15" t="n"/>
    </row>
    <row r="76" ht="18" customHeight="1">
      <c r="A76" s="18" t="n"/>
      <c r="B76" s="18" t="n"/>
      <c r="C76" s="18" t="n"/>
      <c r="D76" s="18" t="n"/>
      <c r="E76" s="18" t="n"/>
      <c r="F76" s="18" t="n"/>
      <c r="G76" s="18" t="n"/>
      <c r="H76" s="18" t="n"/>
      <c r="I76" s="18" t="n"/>
      <c r="J76" s="18" t="n"/>
      <c r="K76" s="18" t="n"/>
    </row>
    <row r="77" ht="18" customHeight="1">
      <c r="A77" s="15" t="n"/>
      <c r="B77" s="15" t="n"/>
      <c r="C77" s="15" t="n"/>
      <c r="D77" s="15" t="n"/>
      <c r="E77" s="15" t="n"/>
      <c r="F77" s="15" t="n"/>
      <c r="G77" s="15" t="n"/>
      <c r="H77" s="15" t="n"/>
      <c r="I77" s="15" t="n"/>
      <c r="J77" s="15" t="n"/>
      <c r="K77" s="15" t="n"/>
    </row>
    <row r="78" ht="18" customHeight="1">
      <c r="A78" s="18" t="n"/>
      <c r="B78" s="18" t="n"/>
      <c r="C78" s="18" t="n"/>
      <c r="D78" s="18" t="n"/>
      <c r="E78" s="18" t="n"/>
      <c r="F78" s="18" t="n"/>
      <c r="G78" s="18" t="n"/>
      <c r="H78" s="18" t="n"/>
      <c r="I78" s="18" t="n"/>
      <c r="J78" s="18" t="n"/>
      <c r="K78" s="18" t="n"/>
    </row>
    <row r="79" ht="18" customHeight="1">
      <c r="A79" s="15" t="n"/>
      <c r="B79" s="15" t="n"/>
      <c r="C79" s="15" t="n"/>
      <c r="D79" s="15" t="n"/>
      <c r="E79" s="15" t="n"/>
      <c r="F79" s="15" t="n"/>
      <c r="G79" s="15" t="n"/>
      <c r="H79" s="15" t="n"/>
      <c r="I79" s="15" t="n"/>
      <c r="J79" s="15" t="n"/>
      <c r="K79" s="15" t="n"/>
    </row>
    <row r="80" ht="18" customHeight="1">
      <c r="A80" s="18" t="n"/>
      <c r="B80" s="18" t="n"/>
      <c r="C80" s="18" t="n"/>
      <c r="D80" s="18" t="n"/>
      <c r="E80" s="18" t="n"/>
      <c r="F80" s="18" t="n"/>
      <c r="G80" s="18" t="n"/>
      <c r="H80" s="18" t="n"/>
      <c r="I80" s="18" t="n"/>
      <c r="J80" s="18" t="n"/>
      <c r="K80" s="18" t="n"/>
    </row>
    <row r="81" ht="18" customHeight="1">
      <c r="A81" s="15" t="n"/>
      <c r="B81" s="15" t="n"/>
      <c r="C81" s="15" t="n"/>
      <c r="D81" s="15" t="n"/>
      <c r="E81" s="15" t="n"/>
      <c r="F81" s="15" t="n"/>
      <c r="G81" s="15" t="n"/>
      <c r="H81" s="15" t="n"/>
      <c r="I81" s="15" t="n"/>
      <c r="J81" s="15" t="n"/>
      <c r="K81" s="15" t="n"/>
    </row>
    <row r="82" ht="18" customHeight="1">
      <c r="A82" s="18" t="n"/>
      <c r="B82" s="18" t="n"/>
      <c r="C82" s="18" t="n"/>
      <c r="D82" s="18" t="n"/>
      <c r="E82" s="18" t="n"/>
      <c r="F82" s="18" t="n"/>
      <c r="G82" s="18" t="n"/>
      <c r="H82" s="18" t="n"/>
      <c r="I82" s="18" t="n"/>
      <c r="J82" s="18" t="n"/>
      <c r="K82" s="18" t="n"/>
    </row>
    <row r="83" ht="18" customHeight="1">
      <c r="A83" s="15" t="n"/>
      <c r="B83" s="15" t="n"/>
      <c r="C83" s="15" t="n"/>
      <c r="D83" s="15" t="n"/>
      <c r="E83" s="15" t="n"/>
      <c r="F83" s="15" t="n"/>
      <c r="G83" s="15" t="n"/>
      <c r="H83" s="15" t="n"/>
      <c r="I83" s="15" t="n"/>
      <c r="J83" s="15" t="n"/>
      <c r="K83" s="15" t="n"/>
    </row>
    <row r="84" ht="18" customHeight="1">
      <c r="A84" s="18" t="n"/>
      <c r="B84" s="18" t="n"/>
      <c r="C84" s="18" t="n"/>
      <c r="D84" s="18" t="n"/>
      <c r="E84" s="18" t="n"/>
      <c r="F84" s="18" t="n"/>
      <c r="G84" s="18" t="n"/>
      <c r="H84" s="18" t="n"/>
      <c r="I84" s="18" t="n"/>
      <c r="J84" s="18" t="n"/>
      <c r="K84" s="18" t="n"/>
    </row>
    <row r="85" ht="18" customHeight="1">
      <c r="A85" s="15" t="n"/>
      <c r="B85" s="15" t="n"/>
      <c r="C85" s="15" t="n"/>
      <c r="D85" s="15" t="n"/>
      <c r="E85" s="15" t="n"/>
      <c r="F85" s="15" t="n"/>
      <c r="G85" s="15" t="n"/>
      <c r="H85" s="15" t="n"/>
      <c r="I85" s="15" t="n"/>
      <c r="J85" s="15" t="n"/>
      <c r="K85" s="15" t="n"/>
    </row>
    <row r="86" ht="18" customHeight="1">
      <c r="A86" s="18" t="n"/>
      <c r="B86" s="18" t="n"/>
      <c r="C86" s="18" t="n"/>
      <c r="D86" s="18" t="n"/>
      <c r="E86" s="18" t="n"/>
      <c r="F86" s="18" t="n"/>
      <c r="G86" s="18" t="n"/>
      <c r="H86" s="18" t="n"/>
      <c r="I86" s="18" t="n"/>
      <c r="J86" s="18" t="n"/>
      <c r="K86" s="18" t="n"/>
    </row>
    <row r="87" ht="18" customHeight="1">
      <c r="A87" s="15" t="n"/>
      <c r="B87" s="15" t="n"/>
      <c r="C87" s="15" t="n"/>
      <c r="D87" s="15" t="n"/>
      <c r="E87" s="15" t="n"/>
      <c r="F87" s="15" t="n"/>
      <c r="G87" s="15" t="n"/>
      <c r="H87" s="15" t="n"/>
      <c r="I87" s="15" t="n"/>
      <c r="J87" s="15" t="n"/>
      <c r="K87" s="15" t="n"/>
    </row>
    <row r="88" ht="18" customHeight="1">
      <c r="A88" s="18" t="n"/>
      <c r="B88" s="18" t="n"/>
      <c r="C88" s="18" t="n"/>
      <c r="D88" s="18" t="n"/>
      <c r="E88" s="18" t="n"/>
      <c r="F88" s="18" t="n"/>
      <c r="G88" s="18" t="n"/>
      <c r="H88" s="18" t="n"/>
      <c r="I88" s="18" t="n"/>
      <c r="J88" s="18" t="n"/>
      <c r="K88" s="18" t="n"/>
    </row>
    <row r="89" ht="18" customHeight="1">
      <c r="A89" s="15" t="n"/>
      <c r="B89" s="15" t="n"/>
      <c r="C89" s="15" t="n"/>
      <c r="D89" s="15" t="n"/>
      <c r="E89" s="15" t="n"/>
      <c r="F89" s="15" t="n"/>
      <c r="G89" s="15" t="n"/>
      <c r="H89" s="15" t="n"/>
      <c r="I89" s="15" t="n"/>
      <c r="J89" s="15" t="n"/>
      <c r="K89" s="15" t="n"/>
    </row>
    <row r="90" ht="18" customHeight="1">
      <c r="A90" s="18" t="n"/>
      <c r="B90" s="18" t="n"/>
      <c r="C90" s="18" t="n"/>
      <c r="D90" s="18" t="n"/>
      <c r="E90" s="18" t="n"/>
      <c r="F90" s="18" t="n"/>
      <c r="G90" s="18" t="n"/>
      <c r="H90" s="18" t="n"/>
      <c r="I90" s="18" t="n"/>
      <c r="J90" s="18" t="n"/>
      <c r="K90" s="18" t="n"/>
    </row>
    <row r="91" ht="18" customHeight="1">
      <c r="A91" s="15" t="n"/>
      <c r="B91" s="15" t="n"/>
      <c r="C91" s="15" t="n"/>
      <c r="D91" s="15" t="n"/>
      <c r="E91" s="15" t="n"/>
      <c r="F91" s="15" t="n"/>
      <c r="G91" s="15" t="n"/>
      <c r="H91" s="15" t="n"/>
      <c r="I91" s="15" t="n"/>
      <c r="J91" s="15" t="n"/>
      <c r="K91" s="15" t="n"/>
    </row>
    <row r="92" ht="18" customHeight="1">
      <c r="A92" s="18" t="n"/>
      <c r="B92" s="18" t="n"/>
      <c r="C92" s="18" t="n"/>
      <c r="D92" s="18" t="n"/>
      <c r="E92" s="18" t="n"/>
      <c r="F92" s="18" t="n"/>
      <c r="G92" s="18" t="n"/>
      <c r="H92" s="18" t="n"/>
      <c r="I92" s="18" t="n"/>
      <c r="J92" s="18" t="n"/>
      <c r="K92" s="18" t="n"/>
    </row>
    <row r="93" ht="18" customHeight="1">
      <c r="A93" s="15" t="n"/>
      <c r="B93" s="15" t="n"/>
      <c r="C93" s="15" t="n"/>
      <c r="D93" s="15" t="n"/>
      <c r="E93" s="15" t="n"/>
      <c r="F93" s="15" t="n"/>
      <c r="G93" s="15" t="n"/>
      <c r="H93" s="15" t="n"/>
      <c r="I93" s="15" t="n"/>
      <c r="J93" s="15" t="n"/>
      <c r="K93" s="15" t="n"/>
    </row>
    <row r="94" ht="18" customHeight="1">
      <c r="A94" s="18" t="n"/>
      <c r="B94" s="18" t="n"/>
      <c r="C94" s="18" t="n"/>
      <c r="D94" s="18" t="n"/>
      <c r="E94" s="18" t="n"/>
      <c r="F94" s="18" t="n"/>
      <c r="G94" s="18" t="n"/>
      <c r="H94" s="18" t="n"/>
      <c r="I94" s="18" t="n"/>
      <c r="J94" s="18" t="n"/>
      <c r="K94" s="18" t="n"/>
    </row>
    <row r="95" ht="18" customHeight="1">
      <c r="A95" s="15" t="n"/>
      <c r="B95" s="15" t="n"/>
      <c r="C95" s="15" t="n"/>
      <c r="D95" s="15" t="n"/>
      <c r="E95" s="15" t="n"/>
      <c r="F95" s="15" t="n"/>
      <c r="G95" s="15" t="n"/>
      <c r="H95" s="15" t="n"/>
      <c r="I95" s="15" t="n"/>
      <c r="J95" s="15" t="n"/>
      <c r="K95" s="15" t="n"/>
    </row>
    <row r="96" ht="18" customHeight="1">
      <c r="A96" s="18" t="n"/>
      <c r="B96" s="18" t="n"/>
      <c r="C96" s="18" t="n"/>
      <c r="D96" s="18" t="n"/>
      <c r="E96" s="18" t="n"/>
      <c r="F96" s="18" t="n"/>
      <c r="G96" s="18" t="n"/>
      <c r="H96" s="18" t="n"/>
      <c r="I96" s="18" t="n"/>
      <c r="J96" s="18" t="n"/>
      <c r="K96" s="18" t="n"/>
    </row>
    <row r="97" ht="18" customHeight="1">
      <c r="A97" s="15" t="n"/>
      <c r="B97" s="15" t="n"/>
      <c r="C97" s="15" t="n"/>
      <c r="D97" s="15" t="n"/>
      <c r="E97" s="15" t="n"/>
      <c r="F97" s="15" t="n"/>
      <c r="G97" s="15" t="n"/>
      <c r="H97" s="15" t="n"/>
      <c r="I97" s="15" t="n"/>
      <c r="J97" s="15" t="n"/>
      <c r="K97" s="15" t="n"/>
    </row>
    <row r="98" ht="18" customHeight="1">
      <c r="A98" s="18" t="n"/>
      <c r="B98" s="18" t="n"/>
      <c r="C98" s="18" t="n"/>
      <c r="D98" s="18" t="n"/>
      <c r="E98" s="18" t="n"/>
      <c r="F98" s="18" t="n"/>
      <c r="G98" s="18" t="n"/>
      <c r="H98" s="18" t="n"/>
      <c r="I98" s="18" t="n"/>
      <c r="J98" s="18" t="n"/>
      <c r="K98" s="18" t="n"/>
    </row>
    <row r="99" ht="18" customHeight="1">
      <c r="A99" s="15" t="n"/>
      <c r="B99" s="15" t="n"/>
      <c r="C99" s="15" t="n"/>
      <c r="D99" s="15" t="n"/>
      <c r="E99" s="15" t="n"/>
      <c r="F99" s="15" t="n"/>
      <c r="G99" s="15" t="n"/>
      <c r="H99" s="15" t="n"/>
      <c r="I99" s="15" t="n"/>
      <c r="J99" s="15" t="n"/>
      <c r="K99" s="15" t="n"/>
    </row>
    <row r="100" ht="18" customHeight="1">
      <c r="A100" s="18" t="n"/>
      <c r="B100" s="18" t="n"/>
      <c r="C100" s="18" t="n"/>
      <c r="D100" s="18" t="n"/>
      <c r="E100" s="18" t="n"/>
      <c r="F100" s="18" t="n"/>
      <c r="G100" s="18" t="n"/>
      <c r="H100" s="18" t="n"/>
      <c r="I100" s="18" t="n"/>
      <c r="J100" s="18" t="n"/>
      <c r="K100" s="18" t="n"/>
    </row>
    <row r="101" ht="18" customHeight="1">
      <c r="A101" s="15" t="n"/>
      <c r="B101" s="15" t="n"/>
      <c r="C101" s="15" t="n"/>
      <c r="D101" s="15" t="n"/>
      <c r="E101" s="15" t="n"/>
      <c r="F101" s="15" t="n"/>
      <c r="G101" s="15" t="n"/>
      <c r="H101" s="15" t="n"/>
      <c r="I101" s="15" t="n"/>
      <c r="J101" s="15" t="n"/>
      <c r="K101" s="15" t="n"/>
    </row>
    <row r="102" ht="18" customHeight="1">
      <c r="A102" s="18" t="n"/>
      <c r="B102" s="18" t="n"/>
      <c r="C102" s="18" t="n"/>
      <c r="D102" s="18" t="n"/>
      <c r="E102" s="18" t="n"/>
      <c r="F102" s="18" t="n"/>
      <c r="G102" s="18" t="n"/>
      <c r="H102" s="18" t="n"/>
      <c r="I102" s="18" t="n"/>
      <c r="J102" s="18" t="n"/>
      <c r="K102" s="18" t="n"/>
    </row>
    <row r="103" ht="18" customHeight="1">
      <c r="A103" s="15" t="n"/>
      <c r="B103" s="15" t="n"/>
      <c r="C103" s="15" t="n"/>
      <c r="D103" s="15" t="n"/>
      <c r="E103" s="15" t="n"/>
      <c r="F103" s="15" t="n"/>
      <c r="G103" s="15" t="n"/>
      <c r="H103" s="15" t="n"/>
      <c r="I103" s="15" t="n"/>
      <c r="J103" s="15" t="n"/>
      <c r="K103" s="15" t="n"/>
    </row>
    <row r="104" ht="18" customHeight="1">
      <c r="A104" s="18" t="n"/>
      <c r="B104" s="18" t="n"/>
      <c r="C104" s="18" t="n"/>
      <c r="D104" s="18" t="n"/>
      <c r="E104" s="18" t="n"/>
      <c r="F104" s="18" t="n"/>
      <c r="G104" s="18" t="n"/>
      <c r="H104" s="18" t="n"/>
      <c r="I104" s="18" t="n"/>
      <c r="J104" s="18" t="n"/>
      <c r="K104" s="18" t="n"/>
    </row>
    <row r="105" ht="18" customHeight="1">
      <c r="A105" s="15" t="n"/>
      <c r="B105" s="15" t="n"/>
      <c r="C105" s="15" t="n"/>
      <c r="D105" s="15" t="n"/>
      <c r="E105" s="15" t="n"/>
      <c r="F105" s="15" t="n"/>
      <c r="G105" s="15" t="n"/>
      <c r="H105" s="15" t="n"/>
      <c r="I105" s="15" t="n"/>
      <c r="J105" s="15" t="n"/>
      <c r="K105" s="15" t="n"/>
    </row>
    <row r="106" ht="18" customHeight="1">
      <c r="A106" s="18" t="n"/>
      <c r="B106" s="18" t="n"/>
      <c r="C106" s="18" t="n"/>
      <c r="D106" s="18" t="n"/>
      <c r="E106" s="18" t="n"/>
      <c r="F106" s="18" t="n"/>
      <c r="G106" s="18" t="n"/>
      <c r="H106" s="18" t="n"/>
      <c r="I106" s="18" t="n"/>
      <c r="J106" s="18" t="n"/>
      <c r="K106" s="18" t="n"/>
    </row>
    <row r="107" ht="18" customHeight="1">
      <c r="A107" s="15" t="n"/>
      <c r="B107" s="15" t="n"/>
      <c r="C107" s="15" t="n"/>
      <c r="D107" s="15" t="n"/>
      <c r="E107" s="15" t="n"/>
      <c r="F107" s="15" t="n"/>
      <c r="G107" s="15" t="n"/>
      <c r="H107" s="15" t="n"/>
      <c r="I107" s="15" t="n"/>
      <c r="J107" s="15" t="n"/>
      <c r="K107" s="15" t="n"/>
    </row>
    <row r="108" ht="18" customHeight="1">
      <c r="A108" s="18" t="n"/>
      <c r="B108" s="18" t="n"/>
      <c r="C108" s="18" t="n"/>
      <c r="D108" s="18" t="n"/>
      <c r="E108" s="18" t="n"/>
      <c r="F108" s="18" t="n"/>
      <c r="G108" s="18" t="n"/>
      <c r="H108" s="18" t="n"/>
      <c r="I108" s="18" t="n"/>
      <c r="J108" s="18" t="n"/>
      <c r="K108" s="18" t="n"/>
    </row>
    <row r="109" ht="18" customHeight="1">
      <c r="A109" s="15" t="n"/>
      <c r="B109" s="15" t="n"/>
      <c r="C109" s="15" t="n"/>
      <c r="D109" s="15" t="n"/>
      <c r="E109" s="15" t="n"/>
      <c r="F109" s="15" t="n"/>
      <c r="G109" s="15" t="n"/>
      <c r="H109" s="15" t="n"/>
      <c r="I109" s="15" t="n"/>
      <c r="J109" s="15" t="n"/>
      <c r="K109" s="15" t="n"/>
    </row>
    <row r="110" ht="18" customHeight="1">
      <c r="A110" s="18" t="n"/>
      <c r="B110" s="18" t="n"/>
      <c r="C110" s="18" t="n"/>
      <c r="D110" s="18" t="n"/>
      <c r="E110" s="18" t="n"/>
      <c r="F110" s="18" t="n"/>
      <c r="G110" s="18" t="n"/>
      <c r="H110" s="18" t="n"/>
      <c r="I110" s="18" t="n"/>
      <c r="J110" s="18" t="n"/>
      <c r="K110" s="18" t="n"/>
    </row>
    <row r="111" ht="18" customHeight="1">
      <c r="A111" s="15" t="n"/>
      <c r="B111" s="15" t="n"/>
      <c r="C111" s="15" t="n"/>
      <c r="D111" s="15" t="n"/>
      <c r="E111" s="15" t="n"/>
      <c r="F111" s="15" t="n"/>
      <c r="G111" s="15" t="n"/>
      <c r="H111" s="15" t="n"/>
      <c r="I111" s="15" t="n"/>
      <c r="J111" s="15" t="n"/>
      <c r="K111" s="15" t="n"/>
    </row>
    <row r="112" ht="18" customHeight="1">
      <c r="A112" s="18" t="n"/>
      <c r="B112" s="18" t="n"/>
      <c r="C112" s="18" t="n"/>
      <c r="D112" s="18" t="n"/>
      <c r="E112" s="18" t="n"/>
      <c r="F112" s="18" t="n"/>
      <c r="G112" s="18" t="n"/>
      <c r="H112" s="18" t="n"/>
      <c r="I112" s="18" t="n"/>
      <c r="J112" s="18" t="n"/>
      <c r="K112" s="18" t="n"/>
    </row>
    <row r="113" ht="18" customHeight="1">
      <c r="A113" s="15" t="n"/>
      <c r="B113" s="15" t="n"/>
      <c r="C113" s="15" t="n"/>
      <c r="D113" s="15" t="n"/>
      <c r="E113" s="15" t="n"/>
      <c r="F113" s="15" t="n"/>
      <c r="G113" s="15" t="n"/>
      <c r="H113" s="15" t="n"/>
      <c r="I113" s="15" t="n"/>
      <c r="J113" s="15" t="n"/>
      <c r="K113" s="15" t="n"/>
    </row>
    <row r="114" ht="18" customHeight="1">
      <c r="A114" s="18" t="n"/>
      <c r="B114" s="18" t="n"/>
      <c r="C114" s="18" t="n"/>
      <c r="D114" s="18" t="n"/>
      <c r="E114" s="18" t="n"/>
      <c r="F114" s="18" t="n"/>
      <c r="G114" s="18" t="n"/>
      <c r="H114" s="18" t="n"/>
      <c r="I114" s="18" t="n"/>
      <c r="J114" s="18" t="n"/>
      <c r="K114" s="18" t="n"/>
    </row>
    <row r="115" ht="18" customHeight="1">
      <c r="A115" s="15" t="n"/>
      <c r="B115" s="15" t="n"/>
      <c r="C115" s="15" t="n"/>
      <c r="D115" s="15" t="n"/>
      <c r="E115" s="15" t="n"/>
      <c r="F115" s="15" t="n"/>
      <c r="G115" s="15" t="n"/>
      <c r="H115" s="15" t="n"/>
      <c r="I115" s="15" t="n"/>
      <c r="J115" s="15" t="n"/>
      <c r="K115" s="15" t="n"/>
    </row>
    <row r="116" ht="18" customHeight="1">
      <c r="A116" s="18" t="n"/>
      <c r="B116" s="18" t="n"/>
      <c r="C116" s="18" t="n"/>
      <c r="D116" s="18" t="n"/>
      <c r="E116" s="18" t="n"/>
      <c r="F116" s="18" t="n"/>
      <c r="G116" s="18" t="n"/>
      <c r="H116" s="18" t="n"/>
      <c r="I116" s="18" t="n"/>
      <c r="J116" s="18" t="n"/>
      <c r="K116" s="18" t="n"/>
    </row>
    <row r="117" ht="18" customHeight="1">
      <c r="A117" s="15" t="n"/>
      <c r="B117" s="15" t="n"/>
      <c r="C117" s="15" t="n"/>
      <c r="D117" s="15" t="n"/>
      <c r="E117" s="15" t="n"/>
      <c r="F117" s="15" t="n"/>
      <c r="G117" s="15" t="n"/>
      <c r="H117" s="15" t="n"/>
      <c r="I117" s="15" t="n"/>
      <c r="J117" s="15" t="n"/>
      <c r="K117" s="15" t="n"/>
    </row>
    <row r="118" ht="18" customHeight="1">
      <c r="A118" s="18" t="n"/>
      <c r="B118" s="18" t="n"/>
      <c r="C118" s="18" t="n"/>
      <c r="D118" s="18" t="n"/>
      <c r="E118" s="18" t="n"/>
      <c r="F118" s="18" t="n"/>
      <c r="G118" s="18" t="n"/>
      <c r="H118" s="18" t="n"/>
      <c r="I118" s="18" t="n"/>
      <c r="J118" s="18" t="n"/>
      <c r="K118" s="18" t="n"/>
    </row>
    <row r="119" ht="18" customHeight="1">
      <c r="A119" s="15" t="n"/>
      <c r="B119" s="15" t="n"/>
      <c r="C119" s="15" t="n"/>
      <c r="D119" s="15" t="n"/>
      <c r="E119" s="15" t="n"/>
      <c r="F119" s="15" t="n"/>
      <c r="G119" s="15" t="n"/>
      <c r="H119" s="15" t="n"/>
      <c r="I119" s="15" t="n"/>
      <c r="J119" s="15" t="n"/>
      <c r="K119" s="15" t="n"/>
    </row>
    <row r="120" ht="18" customHeight="1">
      <c r="A120" s="18" t="n"/>
      <c r="B120" s="18" t="n"/>
      <c r="C120" s="18" t="n"/>
      <c r="D120" s="18" t="n"/>
      <c r="E120" s="18" t="n"/>
      <c r="F120" s="18" t="n"/>
      <c r="G120" s="18" t="n"/>
      <c r="H120" s="18" t="n"/>
      <c r="I120" s="18" t="n"/>
      <c r="J120" s="18" t="n"/>
      <c r="K120" s="18" t="n"/>
    </row>
    <row r="121" ht="18" customHeight="1">
      <c r="A121" s="15" t="n"/>
      <c r="B121" s="15" t="n"/>
      <c r="C121" s="15" t="n"/>
      <c r="D121" s="15" t="n"/>
      <c r="E121" s="15" t="n"/>
      <c r="F121" s="15" t="n"/>
      <c r="G121" s="15" t="n"/>
      <c r="H121" s="15" t="n"/>
      <c r="I121" s="15" t="n"/>
      <c r="J121" s="15" t="n"/>
      <c r="K121" s="15" t="n"/>
    </row>
    <row r="122" ht="18" customHeight="1">
      <c r="A122" s="18" t="n"/>
      <c r="B122" s="18" t="n"/>
      <c r="C122" s="18" t="n"/>
      <c r="D122" s="18" t="n"/>
      <c r="E122" s="18" t="n"/>
      <c r="F122" s="18" t="n"/>
      <c r="G122" s="18" t="n"/>
      <c r="H122" s="18" t="n"/>
      <c r="I122" s="18" t="n"/>
      <c r="J122" s="18" t="n"/>
      <c r="K122" s="18" t="n"/>
    </row>
    <row r="123" ht="18" customHeight="1">
      <c r="A123" s="15" t="n"/>
      <c r="B123" s="15" t="n"/>
      <c r="C123" s="15" t="n"/>
      <c r="D123" s="15" t="n"/>
      <c r="E123" s="15" t="n"/>
      <c r="F123" s="15" t="n"/>
      <c r="G123" s="15" t="n"/>
      <c r="H123" s="15" t="n"/>
      <c r="I123" s="15" t="n"/>
      <c r="J123" s="15" t="n"/>
      <c r="K123" s="15" t="n"/>
    </row>
    <row r="124" ht="18" customHeight="1">
      <c r="A124" s="18" t="n"/>
      <c r="B124" s="18" t="n"/>
      <c r="C124" s="18" t="n"/>
      <c r="D124" s="18" t="n"/>
      <c r="E124" s="18" t="n"/>
      <c r="F124" s="18" t="n"/>
      <c r="G124" s="18" t="n"/>
      <c r="H124" s="18" t="n"/>
      <c r="I124" s="18" t="n"/>
      <c r="J124" s="18" t="n"/>
      <c r="K124" s="18" t="n"/>
    </row>
    <row r="125" ht="18" customHeight="1">
      <c r="A125" s="15" t="n"/>
      <c r="B125" s="15" t="n"/>
      <c r="C125" s="15" t="n"/>
      <c r="D125" s="15" t="n"/>
      <c r="E125" s="15" t="n"/>
      <c r="F125" s="15" t="n"/>
      <c r="G125" s="15" t="n"/>
      <c r="H125" s="15" t="n"/>
      <c r="I125" s="15" t="n"/>
      <c r="J125" s="15" t="n"/>
      <c r="K125" s="15" t="n"/>
    </row>
    <row r="126" ht="18" customHeight="1">
      <c r="A126" s="18" t="n"/>
      <c r="B126" s="18" t="n"/>
      <c r="C126" s="18" t="n"/>
      <c r="D126" s="18" t="n"/>
      <c r="E126" s="18" t="n"/>
      <c r="F126" s="18" t="n"/>
      <c r="G126" s="18" t="n"/>
      <c r="H126" s="18" t="n"/>
      <c r="I126" s="18" t="n"/>
      <c r="J126" s="18" t="n"/>
      <c r="K126" s="18" t="n"/>
    </row>
    <row r="127" ht="18" customHeight="1">
      <c r="A127" s="15" t="n"/>
      <c r="B127" s="15" t="n"/>
      <c r="C127" s="15" t="n"/>
      <c r="D127" s="15" t="n"/>
      <c r="E127" s="15" t="n"/>
      <c r="F127" s="15" t="n"/>
      <c r="G127" s="15" t="n"/>
      <c r="H127" s="15" t="n"/>
      <c r="I127" s="15" t="n"/>
      <c r="J127" s="15" t="n"/>
      <c r="K127" s="15" t="n"/>
    </row>
    <row r="128" ht="18" customHeight="1">
      <c r="A128" s="18" t="n"/>
      <c r="B128" s="18" t="n"/>
      <c r="C128" s="18" t="n"/>
      <c r="D128" s="18" t="n"/>
      <c r="E128" s="18" t="n"/>
      <c r="F128" s="18" t="n"/>
      <c r="G128" s="18" t="n"/>
      <c r="H128" s="18" t="n"/>
      <c r="I128" s="18" t="n"/>
      <c r="J128" s="18" t="n"/>
      <c r="K128" s="18" t="n"/>
    </row>
    <row r="129" ht="18" customHeight="1">
      <c r="A129" s="15" t="n"/>
      <c r="B129" s="15" t="n"/>
      <c r="C129" s="15" t="n"/>
      <c r="D129" s="15" t="n"/>
      <c r="E129" s="15" t="n"/>
      <c r="F129" s="15" t="n"/>
      <c r="G129" s="15" t="n"/>
      <c r="H129" s="15" t="n"/>
      <c r="I129" s="15" t="n"/>
      <c r="J129" s="15" t="n"/>
      <c r="K129" s="15" t="n"/>
    </row>
    <row r="130" ht="18" customHeight="1">
      <c r="A130" s="18" t="n"/>
      <c r="B130" s="18" t="n"/>
      <c r="C130" s="18" t="n"/>
      <c r="D130" s="18" t="n"/>
      <c r="E130" s="18" t="n"/>
      <c r="F130" s="18" t="n"/>
      <c r="G130" s="18" t="n"/>
      <c r="H130" s="18" t="n"/>
      <c r="I130" s="18" t="n"/>
      <c r="J130" s="18" t="n"/>
      <c r="K130" s="18" t="n"/>
    </row>
    <row r="131" ht="18" customHeight="1">
      <c r="A131" s="15" t="n"/>
      <c r="B131" s="15" t="n"/>
      <c r="C131" s="15" t="n"/>
      <c r="D131" s="15" t="n"/>
      <c r="E131" s="15" t="n"/>
      <c r="F131" s="15" t="n"/>
      <c r="G131" s="15" t="n"/>
      <c r="H131" s="15" t="n"/>
      <c r="I131" s="15" t="n"/>
      <c r="J131" s="15" t="n"/>
      <c r="K131" s="15" t="n"/>
    </row>
    <row r="132" ht="18" customHeight="1">
      <c r="A132" s="18" t="n"/>
      <c r="B132" s="18" t="n"/>
      <c r="C132" s="18" t="n"/>
      <c r="D132" s="18" t="n"/>
      <c r="E132" s="18" t="n"/>
      <c r="F132" s="18" t="n"/>
      <c r="G132" s="18" t="n"/>
      <c r="H132" s="18" t="n"/>
      <c r="I132" s="18" t="n"/>
      <c r="J132" s="18" t="n"/>
      <c r="K132" s="18" t="n"/>
    </row>
    <row r="133" ht="18" customHeight="1">
      <c r="A133" s="15" t="n"/>
      <c r="B133" s="15" t="n"/>
      <c r="C133" s="15" t="n"/>
      <c r="D133" s="15" t="n"/>
      <c r="E133" s="15" t="n"/>
      <c r="F133" s="15" t="n"/>
      <c r="G133" s="15" t="n"/>
      <c r="H133" s="15" t="n"/>
      <c r="I133" s="15" t="n"/>
      <c r="J133" s="15" t="n"/>
      <c r="K133" s="15" t="n"/>
    </row>
    <row r="134" ht="18" customHeight="1">
      <c r="A134" s="18" t="n"/>
      <c r="B134" s="18" t="n"/>
      <c r="C134" s="18" t="n"/>
      <c r="D134" s="18" t="n"/>
      <c r="E134" s="18" t="n"/>
      <c r="F134" s="18" t="n"/>
      <c r="G134" s="18" t="n"/>
      <c r="H134" s="18" t="n"/>
      <c r="I134" s="18" t="n"/>
      <c r="J134" s="18" t="n"/>
      <c r="K134" s="18" t="n"/>
    </row>
    <row r="135" ht="18" customHeight="1">
      <c r="A135" s="15" t="n"/>
      <c r="B135" s="15" t="n"/>
      <c r="C135" s="15" t="n"/>
      <c r="D135" s="15" t="n"/>
      <c r="E135" s="15" t="n"/>
      <c r="F135" s="15" t="n"/>
      <c r="G135" s="15" t="n"/>
      <c r="H135" s="15" t="n"/>
      <c r="I135" s="15" t="n"/>
      <c r="J135" s="15" t="n"/>
      <c r="K135" s="15" t="n"/>
    </row>
    <row r="136" ht="18" customHeight="1">
      <c r="A136" s="18" t="n"/>
      <c r="B136" s="18" t="n"/>
      <c r="C136" s="18" t="n"/>
      <c r="D136" s="18" t="n"/>
      <c r="E136" s="18" t="n"/>
      <c r="F136" s="18" t="n"/>
      <c r="G136" s="18" t="n"/>
      <c r="H136" s="18" t="n"/>
      <c r="I136" s="18" t="n"/>
      <c r="J136" s="18" t="n"/>
      <c r="K136" s="18" t="n"/>
    </row>
    <row r="137" ht="18" customHeight="1">
      <c r="A137" s="15" t="n"/>
      <c r="B137" s="15" t="n"/>
      <c r="C137" s="15" t="n"/>
      <c r="D137" s="15" t="n"/>
      <c r="E137" s="15" t="n"/>
      <c r="F137" s="15" t="n"/>
      <c r="G137" s="15" t="n"/>
      <c r="H137" s="15" t="n"/>
      <c r="I137" s="15" t="n"/>
      <c r="J137" s="15" t="n"/>
      <c r="K137" s="15" t="n"/>
    </row>
    <row r="138" ht="18" customHeight="1">
      <c r="A138" s="18" t="n"/>
      <c r="B138" s="18" t="n"/>
      <c r="C138" s="18" t="n"/>
      <c r="D138" s="18" t="n"/>
      <c r="E138" s="18" t="n"/>
      <c r="F138" s="18" t="n"/>
      <c r="G138" s="18" t="n"/>
      <c r="H138" s="18" t="n"/>
      <c r="I138" s="18" t="n"/>
      <c r="J138" s="18" t="n"/>
      <c r="K138" s="18" t="n"/>
    </row>
    <row r="139" ht="18" customHeight="1">
      <c r="A139" s="15" t="n"/>
      <c r="B139" s="15" t="n"/>
      <c r="C139" s="15" t="n"/>
      <c r="D139" s="15" t="n"/>
      <c r="E139" s="15" t="n"/>
      <c r="F139" s="15" t="n"/>
      <c r="G139" s="15" t="n"/>
      <c r="H139" s="15" t="n"/>
      <c r="I139" s="15" t="n"/>
      <c r="J139" s="15" t="n"/>
      <c r="K139" s="15" t="n"/>
    </row>
    <row r="140" ht="18" customHeight="1">
      <c r="A140" s="18" t="n"/>
      <c r="B140" s="18" t="n"/>
      <c r="C140" s="18" t="n"/>
      <c r="D140" s="18" t="n"/>
      <c r="E140" s="18" t="n"/>
      <c r="F140" s="18" t="n"/>
      <c r="G140" s="18" t="n"/>
      <c r="H140" s="18" t="n"/>
      <c r="I140" s="18" t="n"/>
      <c r="J140" s="18" t="n"/>
      <c r="K140" s="18" t="n"/>
    </row>
    <row r="141" ht="18" customHeight="1">
      <c r="A141" s="15" t="n"/>
      <c r="B141" s="15" t="n"/>
      <c r="C141" s="15" t="n"/>
      <c r="D141" s="15" t="n"/>
      <c r="E141" s="15" t="n"/>
      <c r="F141" s="15" t="n"/>
      <c r="G141" s="15" t="n"/>
      <c r="H141" s="15" t="n"/>
      <c r="I141" s="15" t="n"/>
      <c r="J141" s="15" t="n"/>
      <c r="K141" s="15" t="n"/>
    </row>
    <row r="142" ht="18" customHeight="1">
      <c r="A142" s="18" t="n"/>
      <c r="B142" s="18" t="n"/>
      <c r="C142" s="18" t="n"/>
      <c r="D142" s="18" t="n"/>
      <c r="E142" s="18" t="n"/>
      <c r="F142" s="18" t="n"/>
      <c r="G142" s="18" t="n"/>
      <c r="H142" s="18" t="n"/>
      <c r="I142" s="18" t="n"/>
      <c r="J142" s="18" t="n"/>
      <c r="K142" s="18" t="n"/>
    </row>
    <row r="143" ht="18" customHeight="1">
      <c r="A143" s="15" t="n"/>
      <c r="B143" s="15" t="n"/>
      <c r="C143" s="15" t="n"/>
      <c r="D143" s="15" t="n"/>
      <c r="E143" s="15" t="n"/>
      <c r="F143" s="15" t="n"/>
      <c r="G143" s="15" t="n"/>
      <c r="H143" s="15" t="n"/>
      <c r="I143" s="15" t="n"/>
      <c r="J143" s="15" t="n"/>
      <c r="K143" s="15" t="n"/>
    </row>
    <row r="144" ht="18" customHeight="1">
      <c r="A144" s="18" t="n"/>
      <c r="B144" s="18" t="n"/>
      <c r="C144" s="18" t="n"/>
      <c r="D144" s="18" t="n"/>
      <c r="E144" s="18" t="n"/>
      <c r="F144" s="18" t="n"/>
      <c r="G144" s="18" t="n"/>
      <c r="H144" s="18" t="n"/>
      <c r="I144" s="18" t="n"/>
      <c r="J144" s="18" t="n"/>
      <c r="K144" s="18" t="n"/>
    </row>
    <row r="145" ht="18" customHeight="1">
      <c r="A145" s="15" t="n"/>
      <c r="B145" s="15" t="n"/>
      <c r="C145" s="15" t="n"/>
      <c r="D145" s="15" t="n"/>
      <c r="E145" s="15" t="n"/>
      <c r="F145" s="15" t="n"/>
      <c r="G145" s="15" t="n"/>
      <c r="H145" s="15" t="n"/>
      <c r="I145" s="15" t="n"/>
      <c r="J145" s="15" t="n"/>
      <c r="K145" s="15" t="n"/>
    </row>
    <row r="146" ht="18" customHeight="1">
      <c r="A146" s="18" t="n"/>
      <c r="B146" s="18" t="n"/>
      <c r="C146" s="18" t="n"/>
      <c r="D146" s="18" t="n"/>
      <c r="E146" s="18" t="n"/>
      <c r="F146" s="18" t="n"/>
      <c r="G146" s="18" t="n"/>
      <c r="H146" s="18" t="n"/>
      <c r="I146" s="18" t="n"/>
      <c r="J146" s="18" t="n"/>
      <c r="K146" s="18" t="n"/>
    </row>
    <row r="147" ht="18" customHeight="1">
      <c r="A147" s="15" t="n"/>
      <c r="B147" s="15" t="n"/>
      <c r="C147" s="15" t="n"/>
      <c r="D147" s="15" t="n"/>
      <c r="E147" s="15" t="n"/>
      <c r="F147" s="15" t="n"/>
      <c r="G147" s="15" t="n"/>
      <c r="H147" s="15" t="n"/>
      <c r="I147" s="15" t="n"/>
      <c r="J147" s="15" t="n"/>
      <c r="K147" s="15" t="n"/>
    </row>
    <row r="148" ht="18" customHeight="1">
      <c r="A148" s="18" t="n"/>
      <c r="B148" s="18" t="n"/>
      <c r="C148" s="18" t="n"/>
      <c r="D148" s="18" t="n"/>
      <c r="E148" s="18" t="n"/>
      <c r="F148" s="18" t="n"/>
      <c r="G148" s="18" t="n"/>
      <c r="H148" s="18" t="n"/>
      <c r="I148" s="18" t="n"/>
      <c r="J148" s="18" t="n"/>
      <c r="K148" s="18" t="n"/>
    </row>
    <row r="149" ht="18" customHeight="1">
      <c r="A149" s="15" t="n"/>
      <c r="B149" s="15" t="n"/>
      <c r="C149" s="15" t="n"/>
      <c r="D149" s="15" t="n"/>
      <c r="E149" s="15" t="n"/>
      <c r="F149" s="15" t="n"/>
      <c r="G149" s="15" t="n"/>
      <c r="H149" s="15" t="n"/>
      <c r="I149" s="15" t="n"/>
      <c r="J149" s="15" t="n"/>
      <c r="K149" s="15" t="n"/>
    </row>
    <row r="150" ht="18" customHeight="1">
      <c r="A150" s="18" t="n"/>
      <c r="B150" s="18" t="n"/>
      <c r="C150" s="18" t="n"/>
      <c r="D150" s="18" t="n"/>
      <c r="E150" s="18" t="n"/>
      <c r="F150" s="18" t="n"/>
      <c r="G150" s="18" t="n"/>
      <c r="H150" s="18" t="n"/>
      <c r="I150" s="18" t="n"/>
      <c r="J150" s="18" t="n"/>
      <c r="K150" s="18" t="n"/>
    </row>
    <row r="151" ht="18" customHeight="1">
      <c r="A151" s="15" t="n"/>
      <c r="B151" s="15" t="n"/>
      <c r="C151" s="15" t="n"/>
      <c r="D151" s="15" t="n"/>
      <c r="E151" s="15" t="n"/>
      <c r="F151" s="15" t="n"/>
      <c r="G151" s="15" t="n"/>
      <c r="H151" s="15" t="n"/>
      <c r="I151" s="15" t="n"/>
      <c r="J151" s="15" t="n"/>
      <c r="K151" s="15" t="n"/>
    </row>
    <row r="152" ht="18" customHeight="1">
      <c r="A152" s="18" t="n"/>
      <c r="B152" s="18" t="n"/>
      <c r="C152" s="18" t="n"/>
      <c r="D152" s="18" t="n"/>
      <c r="E152" s="18" t="n"/>
      <c r="F152" s="18" t="n"/>
      <c r="G152" s="18" t="n"/>
      <c r="H152" s="18" t="n"/>
      <c r="I152" s="18" t="n"/>
      <c r="J152" s="18" t="n"/>
      <c r="K152" s="18" t="n"/>
    </row>
    <row r="153" ht="18" customHeight="1">
      <c r="A153" s="15" t="n"/>
      <c r="B153" s="15" t="n"/>
      <c r="C153" s="15" t="n"/>
      <c r="D153" s="15" t="n"/>
      <c r="E153" s="15" t="n"/>
      <c r="F153" s="15" t="n"/>
      <c r="G153" s="15" t="n"/>
      <c r="H153" s="15" t="n"/>
      <c r="I153" s="15" t="n"/>
      <c r="J153" s="15" t="n"/>
      <c r="K153" s="15" t="n"/>
    </row>
    <row r="154" ht="18" customHeight="1">
      <c r="A154" s="18" t="n"/>
      <c r="B154" s="18" t="n"/>
      <c r="C154" s="18" t="n"/>
      <c r="D154" s="18" t="n"/>
      <c r="E154" s="18" t="n"/>
      <c r="F154" s="18" t="n"/>
      <c r="G154" s="18" t="n"/>
      <c r="H154" s="18" t="n"/>
      <c r="I154" s="18" t="n"/>
      <c r="J154" s="18" t="n"/>
      <c r="K154" s="18" t="n"/>
    </row>
    <row r="155" ht="18" customHeight="1">
      <c r="A155" s="15" t="n"/>
      <c r="B155" s="15" t="n"/>
      <c r="C155" s="15" t="n"/>
      <c r="D155" s="15" t="n"/>
      <c r="E155" s="15" t="n"/>
      <c r="F155" s="15" t="n"/>
      <c r="G155" s="15" t="n"/>
      <c r="H155" s="15" t="n"/>
      <c r="I155" s="15" t="n"/>
      <c r="J155" s="15" t="n"/>
      <c r="K155" s="15" t="n"/>
    </row>
    <row r="156" ht="18" customHeight="1">
      <c r="A156" s="18" t="n"/>
      <c r="B156" s="18" t="n"/>
      <c r="C156" s="18" t="n"/>
      <c r="D156" s="18" t="n"/>
      <c r="E156" s="18" t="n"/>
      <c r="F156" s="18" t="n"/>
      <c r="G156" s="18" t="n"/>
      <c r="H156" s="18" t="n"/>
      <c r="I156" s="18" t="n"/>
      <c r="J156" s="18" t="n"/>
      <c r="K156" s="18" t="n"/>
    </row>
    <row r="157" ht="18" customHeight="1">
      <c r="A157" s="15" t="n"/>
      <c r="B157" s="15" t="n"/>
      <c r="C157" s="15" t="n"/>
      <c r="D157" s="15" t="n"/>
      <c r="E157" s="15" t="n"/>
      <c r="F157" s="15" t="n"/>
      <c r="G157" s="15" t="n"/>
      <c r="H157" s="15" t="n"/>
      <c r="I157" s="15" t="n"/>
      <c r="J157" s="15" t="n"/>
      <c r="K157" s="15" t="n"/>
    </row>
    <row r="158" ht="18" customHeight="1">
      <c r="A158" s="18" t="n"/>
      <c r="B158" s="18" t="n"/>
      <c r="C158" s="18" t="n"/>
      <c r="D158" s="18" t="n"/>
      <c r="E158" s="18" t="n"/>
      <c r="F158" s="18" t="n"/>
      <c r="G158" s="18" t="n"/>
      <c r="H158" s="18" t="n"/>
      <c r="I158" s="18" t="n"/>
      <c r="J158" s="18" t="n"/>
      <c r="K158" s="18" t="n"/>
    </row>
    <row r="159" ht="18" customHeight="1">
      <c r="A159" s="15" t="n"/>
      <c r="B159" s="15" t="n"/>
      <c r="C159" s="15" t="n"/>
      <c r="D159" s="15" t="n"/>
      <c r="E159" s="15" t="n"/>
      <c r="F159" s="15" t="n"/>
      <c r="G159" s="15" t="n"/>
      <c r="H159" s="15" t="n"/>
      <c r="I159" s="15" t="n"/>
      <c r="J159" s="15" t="n"/>
      <c r="K159" s="15" t="n"/>
    </row>
    <row r="160" ht="18" customHeight="1">
      <c r="A160" s="18" t="n"/>
      <c r="B160" s="18" t="n"/>
      <c r="C160" s="18" t="n"/>
      <c r="D160" s="18" t="n"/>
      <c r="E160" s="18" t="n"/>
      <c r="F160" s="18" t="n"/>
      <c r="G160" s="18" t="n"/>
      <c r="H160" s="18" t="n"/>
      <c r="I160" s="18" t="n"/>
      <c r="J160" s="18" t="n"/>
      <c r="K160" s="18" t="n"/>
    </row>
    <row r="161" ht="18" customHeight="1">
      <c r="A161" s="15" t="n"/>
      <c r="B161" s="15" t="n"/>
      <c r="C161" s="15" t="n"/>
      <c r="D161" s="15" t="n"/>
      <c r="E161" s="15" t="n"/>
      <c r="F161" s="15" t="n"/>
      <c r="G161" s="15" t="n"/>
      <c r="H161" s="15" t="n"/>
      <c r="I161" s="15" t="n"/>
      <c r="J161" s="15" t="n"/>
      <c r="K161" s="15" t="n"/>
    </row>
    <row r="162" ht="18" customHeight="1">
      <c r="A162" s="18" t="n"/>
      <c r="B162" s="18" t="n"/>
      <c r="C162" s="18" t="n"/>
      <c r="D162" s="18" t="n"/>
      <c r="E162" s="18" t="n"/>
      <c r="F162" s="18" t="n"/>
      <c r="G162" s="18" t="n"/>
      <c r="H162" s="18" t="n"/>
      <c r="I162" s="18" t="n"/>
      <c r="J162" s="18" t="n"/>
      <c r="K162" s="18" t="n"/>
    </row>
    <row r="163" ht="18" customHeight="1">
      <c r="A163" s="15" t="n"/>
      <c r="B163" s="15" t="n"/>
      <c r="C163" s="15" t="n"/>
      <c r="D163" s="15" t="n"/>
      <c r="E163" s="15" t="n"/>
      <c r="F163" s="15" t="n"/>
      <c r="G163" s="15" t="n"/>
      <c r="H163" s="15" t="n"/>
      <c r="I163" s="15" t="n"/>
      <c r="J163" s="15" t="n"/>
      <c r="K163" s="15" t="n"/>
    </row>
    <row r="164" ht="18" customHeight="1">
      <c r="A164" s="18" t="n"/>
      <c r="B164" s="18" t="n"/>
      <c r="C164" s="18" t="n"/>
      <c r="D164" s="18" t="n"/>
      <c r="E164" s="18" t="n"/>
      <c r="F164" s="18" t="n"/>
      <c r="G164" s="18" t="n"/>
      <c r="H164" s="18" t="n"/>
      <c r="I164" s="18" t="n"/>
      <c r="J164" s="18" t="n"/>
      <c r="K164" s="18" t="n"/>
    </row>
    <row r="165" ht="18" customHeight="1">
      <c r="A165" s="15" t="n"/>
      <c r="B165" s="15" t="n"/>
      <c r="C165" s="15" t="n"/>
      <c r="D165" s="15" t="n"/>
      <c r="E165" s="15" t="n"/>
      <c r="F165" s="15" t="n"/>
      <c r="G165" s="15" t="n"/>
      <c r="H165" s="15" t="n"/>
      <c r="I165" s="15" t="n"/>
      <c r="J165" s="15" t="n"/>
      <c r="K165" s="15" t="n"/>
    </row>
    <row r="166" ht="18" customHeight="1">
      <c r="A166" s="18" t="n"/>
      <c r="B166" s="18" t="n"/>
      <c r="C166" s="18" t="n"/>
      <c r="D166" s="18" t="n"/>
      <c r="E166" s="18" t="n"/>
      <c r="F166" s="18" t="n"/>
      <c r="G166" s="18" t="n"/>
      <c r="H166" s="18" t="n"/>
      <c r="I166" s="18" t="n"/>
      <c r="J166" s="18" t="n"/>
      <c r="K166" s="18" t="n"/>
    </row>
    <row r="167" ht="18" customHeight="1">
      <c r="A167" s="15" t="n"/>
      <c r="B167" s="15" t="n"/>
      <c r="C167" s="15" t="n"/>
      <c r="D167" s="15" t="n"/>
      <c r="E167" s="15" t="n"/>
      <c r="F167" s="15" t="n"/>
      <c r="G167" s="15" t="n"/>
      <c r="H167" s="15" t="n"/>
      <c r="I167" s="15" t="n"/>
      <c r="J167" s="15" t="n"/>
      <c r="K167" s="15" t="n"/>
    </row>
    <row r="168" ht="18" customHeight="1">
      <c r="A168" s="18" t="n"/>
      <c r="B168" s="18" t="n"/>
      <c r="C168" s="18" t="n"/>
      <c r="D168" s="18" t="n"/>
      <c r="E168" s="18" t="n"/>
      <c r="F168" s="18" t="n"/>
      <c r="G168" s="18" t="n"/>
      <c r="H168" s="18" t="n"/>
      <c r="I168" s="18" t="n"/>
      <c r="J168" s="18" t="n"/>
      <c r="K168" s="18" t="n"/>
    </row>
    <row r="169" ht="18" customHeight="1">
      <c r="A169" s="15" t="n"/>
      <c r="B169" s="15" t="n"/>
      <c r="C169" s="15" t="n"/>
      <c r="D169" s="15" t="n"/>
      <c r="E169" s="15" t="n"/>
      <c r="F169" s="15" t="n"/>
      <c r="G169" s="15" t="n"/>
      <c r="H169" s="15" t="n"/>
      <c r="I169" s="15" t="n"/>
      <c r="J169" s="15" t="n"/>
      <c r="K169" s="15" t="n"/>
    </row>
    <row r="170" ht="18" customHeight="1">
      <c r="A170" s="18" t="n"/>
      <c r="B170" s="18" t="n"/>
      <c r="C170" s="18" t="n"/>
      <c r="D170" s="18" t="n"/>
      <c r="E170" s="18" t="n"/>
      <c r="F170" s="18" t="n"/>
      <c r="G170" s="18" t="n"/>
      <c r="H170" s="18" t="n"/>
      <c r="I170" s="18" t="n"/>
      <c r="J170" s="18" t="n"/>
      <c r="K170" s="18" t="n"/>
    </row>
    <row r="171" ht="18" customHeight="1">
      <c r="A171" s="15" t="n"/>
      <c r="B171" s="15" t="n"/>
      <c r="C171" s="15" t="n"/>
      <c r="D171" s="15" t="n"/>
      <c r="E171" s="15" t="n"/>
      <c r="F171" s="15" t="n"/>
      <c r="G171" s="15" t="n"/>
      <c r="H171" s="15" t="n"/>
      <c r="I171" s="15" t="n"/>
      <c r="J171" s="15" t="n"/>
      <c r="K171" s="15" t="n"/>
    </row>
    <row r="172" ht="18" customHeight="1">
      <c r="A172" s="18" t="n"/>
      <c r="B172" s="18" t="n"/>
      <c r="C172" s="18" t="n"/>
      <c r="D172" s="18" t="n"/>
      <c r="E172" s="18" t="n"/>
      <c r="F172" s="18" t="n"/>
      <c r="G172" s="18" t="n"/>
      <c r="H172" s="18" t="n"/>
      <c r="I172" s="18" t="n"/>
      <c r="J172" s="18" t="n"/>
      <c r="K172" s="18" t="n"/>
    </row>
    <row r="173" ht="18" customHeight="1">
      <c r="A173" s="15" t="n"/>
      <c r="B173" s="15" t="n"/>
      <c r="C173" s="15" t="n"/>
      <c r="D173" s="15" t="n"/>
      <c r="E173" s="15" t="n"/>
      <c r="F173" s="15" t="n"/>
      <c r="G173" s="15" t="n"/>
      <c r="H173" s="15" t="n"/>
      <c r="I173" s="15" t="n"/>
      <c r="J173" s="15" t="n"/>
      <c r="K173" s="15" t="n"/>
    </row>
    <row r="174" ht="18" customHeight="1">
      <c r="A174" s="18" t="n"/>
      <c r="B174" s="18" t="n"/>
      <c r="C174" s="18" t="n"/>
      <c r="D174" s="18" t="n"/>
      <c r="E174" s="18" t="n"/>
      <c r="F174" s="18" t="n"/>
      <c r="G174" s="18" t="n"/>
      <c r="H174" s="18" t="n"/>
      <c r="I174" s="18" t="n"/>
      <c r="J174" s="18" t="n"/>
      <c r="K174" s="18" t="n"/>
    </row>
    <row r="175" ht="18" customHeight="1">
      <c r="A175" s="15" t="n"/>
      <c r="B175" s="15" t="n"/>
      <c r="C175" s="15" t="n"/>
      <c r="D175" s="15" t="n"/>
      <c r="E175" s="15" t="n"/>
      <c r="F175" s="15" t="n"/>
      <c r="G175" s="15" t="n"/>
      <c r="H175" s="15" t="n"/>
      <c r="I175" s="15" t="n"/>
      <c r="J175" s="15" t="n"/>
      <c r="K175" s="15" t="n"/>
    </row>
    <row r="176" ht="18" customHeight="1">
      <c r="A176" s="18" t="n"/>
      <c r="B176" s="18" t="n"/>
      <c r="C176" s="18" t="n"/>
      <c r="D176" s="18" t="n"/>
      <c r="E176" s="18" t="n"/>
      <c r="F176" s="18" t="n"/>
      <c r="G176" s="18" t="n"/>
      <c r="H176" s="18" t="n"/>
      <c r="I176" s="18" t="n"/>
      <c r="J176" s="18" t="n"/>
      <c r="K176" s="18" t="n"/>
    </row>
    <row r="177" ht="18" customHeight="1">
      <c r="A177" s="15" t="n"/>
      <c r="B177" s="15" t="n"/>
      <c r="C177" s="15" t="n"/>
      <c r="D177" s="15" t="n"/>
      <c r="E177" s="15" t="n"/>
      <c r="F177" s="15" t="n"/>
      <c r="G177" s="15" t="n"/>
      <c r="H177" s="15" t="n"/>
      <c r="I177" s="15" t="n"/>
      <c r="J177" s="15" t="n"/>
      <c r="K177" s="15" t="n"/>
    </row>
    <row r="178" ht="18" customHeight="1">
      <c r="A178" s="18" t="n"/>
      <c r="B178" s="18" t="n"/>
      <c r="C178" s="18" t="n"/>
      <c r="D178" s="18" t="n"/>
      <c r="E178" s="18" t="n"/>
      <c r="F178" s="18" t="n"/>
      <c r="G178" s="18" t="n"/>
      <c r="H178" s="18" t="n"/>
      <c r="I178" s="18" t="n"/>
      <c r="J178" s="18" t="n"/>
      <c r="K178" s="18" t="n"/>
    </row>
    <row r="179" ht="18" customHeight="1">
      <c r="A179" s="15" t="n"/>
      <c r="B179" s="15" t="n"/>
      <c r="C179" s="15" t="n"/>
      <c r="D179" s="15" t="n"/>
      <c r="E179" s="15" t="n"/>
      <c r="F179" s="15" t="n"/>
      <c r="G179" s="15" t="n"/>
      <c r="H179" s="15" t="n"/>
      <c r="I179" s="15" t="n"/>
      <c r="J179" s="15" t="n"/>
      <c r="K179" s="15" t="n"/>
    </row>
    <row r="180" ht="18" customHeight="1">
      <c r="A180" s="18" t="n"/>
      <c r="B180" s="18" t="n"/>
      <c r="C180" s="18" t="n"/>
      <c r="D180" s="18" t="n"/>
      <c r="E180" s="18" t="n"/>
      <c r="F180" s="18" t="n"/>
      <c r="G180" s="18" t="n"/>
      <c r="H180" s="18" t="n"/>
      <c r="I180" s="18" t="n"/>
      <c r="J180" s="18" t="n"/>
      <c r="K180" s="18" t="n"/>
    </row>
    <row r="181" ht="18" customHeight="1">
      <c r="A181" s="15" t="n"/>
      <c r="B181" s="15" t="n"/>
      <c r="C181" s="15" t="n"/>
      <c r="D181" s="15" t="n"/>
      <c r="E181" s="15" t="n"/>
      <c r="F181" s="15" t="n"/>
      <c r="G181" s="15" t="n"/>
      <c r="H181" s="15" t="n"/>
      <c r="I181" s="15" t="n"/>
      <c r="J181" s="15" t="n"/>
      <c r="K181" s="15" t="n"/>
    </row>
    <row r="182" ht="18" customHeight="1">
      <c r="A182" s="18" t="n"/>
      <c r="B182" s="18" t="n"/>
      <c r="C182" s="18" t="n"/>
      <c r="D182" s="18" t="n"/>
      <c r="E182" s="18" t="n"/>
      <c r="F182" s="18" t="n"/>
      <c r="G182" s="18" t="n"/>
      <c r="H182" s="18" t="n"/>
      <c r="I182" s="18" t="n"/>
      <c r="J182" s="18" t="n"/>
      <c r="K182" s="18" t="n"/>
    </row>
    <row r="183" ht="18" customHeight="1">
      <c r="A183" s="15" t="n"/>
      <c r="B183" s="15" t="n"/>
      <c r="C183" s="15" t="n"/>
      <c r="D183" s="15" t="n"/>
      <c r="E183" s="15" t="n"/>
      <c r="F183" s="15" t="n"/>
      <c r="G183" s="15" t="n"/>
      <c r="H183" s="15" t="n"/>
      <c r="I183" s="15" t="n"/>
      <c r="J183" s="15" t="n"/>
      <c r="K183" s="15" t="n"/>
    </row>
    <row r="184" ht="18" customHeight="1">
      <c r="A184" s="18" t="n"/>
      <c r="B184" s="18" t="n"/>
      <c r="C184" s="18" t="n"/>
      <c r="D184" s="18" t="n"/>
      <c r="E184" s="18" t="n"/>
      <c r="F184" s="18" t="n"/>
      <c r="G184" s="18" t="n"/>
      <c r="H184" s="18" t="n"/>
      <c r="I184" s="18" t="n"/>
      <c r="J184" s="18" t="n"/>
      <c r="K184" s="18" t="n"/>
    </row>
    <row r="185" ht="18" customHeight="1">
      <c r="A185" s="15" t="n"/>
      <c r="B185" s="15" t="n"/>
      <c r="C185" s="15" t="n"/>
      <c r="D185" s="15" t="n"/>
      <c r="E185" s="15" t="n"/>
      <c r="F185" s="15" t="n"/>
      <c r="G185" s="15" t="n"/>
      <c r="H185" s="15" t="n"/>
      <c r="I185" s="15" t="n"/>
      <c r="J185" s="15" t="n"/>
      <c r="K185" s="15" t="n"/>
    </row>
    <row r="186" ht="18" customHeight="1">
      <c r="A186" s="18" t="n"/>
      <c r="B186" s="18" t="n"/>
      <c r="C186" s="18" t="n"/>
      <c r="D186" s="18" t="n"/>
      <c r="E186" s="18" t="n"/>
      <c r="F186" s="18" t="n"/>
      <c r="G186" s="18" t="n"/>
      <c r="H186" s="18" t="n"/>
      <c r="I186" s="18" t="n"/>
      <c r="J186" s="18" t="n"/>
      <c r="K186" s="18" t="n"/>
    </row>
    <row r="187" ht="18" customHeight="1">
      <c r="A187" s="15" t="n"/>
      <c r="B187" s="15" t="n"/>
      <c r="C187" s="15" t="n"/>
      <c r="D187" s="15" t="n"/>
      <c r="E187" s="15" t="n"/>
      <c r="F187" s="15" t="n"/>
      <c r="G187" s="15" t="n"/>
      <c r="H187" s="15" t="n"/>
      <c r="I187" s="15" t="n"/>
      <c r="J187" s="15" t="n"/>
      <c r="K187" s="15" t="n"/>
    </row>
    <row r="188" ht="18" customHeight="1">
      <c r="A188" s="18" t="n"/>
      <c r="B188" s="18" t="n"/>
      <c r="C188" s="18" t="n"/>
      <c r="D188" s="18" t="n"/>
      <c r="E188" s="18" t="n"/>
      <c r="F188" s="18" t="n"/>
      <c r="G188" s="18" t="n"/>
      <c r="H188" s="18" t="n"/>
      <c r="I188" s="18" t="n"/>
      <c r="J188" s="18" t="n"/>
      <c r="K188" s="18" t="n"/>
    </row>
    <row r="189" ht="18" customHeight="1">
      <c r="A189" s="15" t="n"/>
      <c r="B189" s="15" t="n"/>
      <c r="C189" s="15" t="n"/>
      <c r="D189" s="15" t="n"/>
      <c r="E189" s="15" t="n"/>
      <c r="F189" s="15" t="n"/>
      <c r="G189" s="15" t="n"/>
      <c r="H189" s="15" t="n"/>
      <c r="I189" s="15" t="n"/>
      <c r="J189" s="15" t="n"/>
      <c r="K189" s="15" t="n"/>
    </row>
    <row r="190" ht="18" customHeight="1">
      <c r="A190" s="18" t="n"/>
      <c r="B190" s="18" t="n"/>
      <c r="C190" s="18" t="n"/>
      <c r="D190" s="18" t="n"/>
      <c r="E190" s="18" t="n"/>
      <c r="F190" s="18" t="n"/>
      <c r="G190" s="18" t="n"/>
      <c r="H190" s="18" t="n"/>
      <c r="I190" s="18" t="n"/>
      <c r="J190" s="18" t="n"/>
      <c r="K190" s="18" t="n"/>
    </row>
    <row r="191" ht="18" customHeight="1">
      <c r="A191" s="15" t="n"/>
      <c r="B191" s="15" t="n"/>
      <c r="C191" s="15" t="n"/>
      <c r="D191" s="15" t="n"/>
      <c r="E191" s="15" t="n"/>
      <c r="F191" s="15" t="n"/>
      <c r="G191" s="15" t="n"/>
      <c r="H191" s="15" t="n"/>
      <c r="I191" s="15" t="n"/>
      <c r="J191" s="15" t="n"/>
      <c r="K191" s="15" t="n"/>
    </row>
    <row r="192" ht="18" customHeight="1">
      <c r="A192" s="18" t="n"/>
      <c r="B192" s="18" t="n"/>
      <c r="C192" s="18" t="n"/>
      <c r="D192" s="18" t="n"/>
      <c r="E192" s="18" t="n"/>
      <c r="F192" s="18" t="n"/>
      <c r="G192" s="18" t="n"/>
      <c r="H192" s="18" t="n"/>
      <c r="I192" s="18" t="n"/>
      <c r="J192" s="18" t="n"/>
      <c r="K192" s="18" t="n"/>
    </row>
    <row r="193" ht="18" customHeight="1">
      <c r="A193" s="15" t="n"/>
      <c r="B193" s="15" t="n"/>
      <c r="C193" s="15" t="n"/>
      <c r="D193" s="15" t="n"/>
      <c r="E193" s="15" t="n"/>
      <c r="F193" s="15" t="n"/>
      <c r="G193" s="15" t="n"/>
      <c r="H193" s="15" t="n"/>
      <c r="I193" s="15" t="n"/>
      <c r="J193" s="15" t="n"/>
      <c r="K193" s="15" t="n"/>
    </row>
    <row r="194" ht="18" customHeight="1">
      <c r="A194" s="18" t="n"/>
      <c r="B194" s="18" t="n"/>
      <c r="C194" s="18" t="n"/>
      <c r="D194" s="18" t="n"/>
      <c r="E194" s="18" t="n"/>
      <c r="F194" s="18" t="n"/>
      <c r="G194" s="18" t="n"/>
      <c r="H194" s="18" t="n"/>
      <c r="I194" s="18" t="n"/>
      <c r="J194" s="18" t="n"/>
      <c r="K194" s="18" t="n"/>
    </row>
    <row r="195" ht="18" customHeight="1">
      <c r="A195" s="15" t="n"/>
      <c r="B195" s="15" t="n"/>
      <c r="C195" s="15" t="n"/>
      <c r="D195" s="15" t="n"/>
      <c r="E195" s="15" t="n"/>
      <c r="F195" s="15" t="n"/>
      <c r="G195" s="15" t="n"/>
      <c r="H195" s="15" t="n"/>
      <c r="I195" s="15" t="n"/>
      <c r="J195" s="15" t="n"/>
      <c r="K195" s="15" t="n"/>
    </row>
    <row r="196" ht="18" customHeight="1">
      <c r="A196" s="18" t="n"/>
      <c r="B196" s="18" t="n"/>
      <c r="C196" s="18" t="n"/>
      <c r="D196" s="18" t="n"/>
      <c r="E196" s="18" t="n"/>
      <c r="F196" s="18" t="n"/>
      <c r="G196" s="18" t="n"/>
      <c r="H196" s="18" t="n"/>
      <c r="I196" s="18" t="n"/>
      <c r="J196" s="18" t="n"/>
      <c r="K196" s="18" t="n"/>
    </row>
    <row r="197" ht="18" customHeight="1">
      <c r="A197" s="15" t="n"/>
      <c r="B197" s="15" t="n"/>
      <c r="C197" s="15" t="n"/>
      <c r="D197" s="15" t="n"/>
      <c r="E197" s="15" t="n"/>
      <c r="F197" s="15" t="n"/>
      <c r="G197" s="15" t="n"/>
      <c r="H197" s="15" t="n"/>
      <c r="I197" s="15" t="n"/>
      <c r="J197" s="15" t="n"/>
      <c r="K197" s="15" t="n"/>
    </row>
    <row r="198" ht="18" customHeight="1">
      <c r="A198" s="18" t="n"/>
      <c r="B198" s="18" t="n"/>
      <c r="C198" s="18" t="n"/>
      <c r="D198" s="18" t="n"/>
      <c r="E198" s="18" t="n"/>
      <c r="F198" s="18" t="n"/>
      <c r="G198" s="18" t="n"/>
      <c r="H198" s="18" t="n"/>
      <c r="I198" s="18" t="n"/>
      <c r="J198" s="18" t="n"/>
      <c r="K198" s="18" t="n"/>
    </row>
    <row r="199" ht="18" customHeight="1">
      <c r="A199" s="15" t="n"/>
      <c r="B199" s="15" t="n"/>
      <c r="C199" s="15" t="n"/>
      <c r="D199" s="15" t="n"/>
      <c r="E199" s="15" t="n"/>
      <c r="F199" s="15" t="n"/>
      <c r="G199" s="15" t="n"/>
      <c r="H199" s="15" t="n"/>
      <c r="I199" s="15" t="n"/>
      <c r="J199" s="15" t="n"/>
      <c r="K199" s="15" t="n"/>
    </row>
    <row r="200" ht="18" customHeight="1">
      <c r="A200" s="18" t="n"/>
      <c r="B200" s="18" t="n"/>
      <c r="C200" s="18" t="n"/>
      <c r="D200" s="18" t="n"/>
      <c r="E200" s="18" t="n"/>
      <c r="F200" s="18" t="n"/>
      <c r="G200" s="18" t="n"/>
      <c r="H200" s="18" t="n"/>
      <c r="I200" s="18" t="n"/>
      <c r="J200" s="18" t="n"/>
      <c r="K200" s="18" t="n"/>
    </row>
    <row r="201" ht="18" customHeight="1">
      <c r="A201" s="15" t="n"/>
      <c r="B201" s="15" t="n"/>
      <c r="C201" s="15" t="n"/>
      <c r="D201" s="15" t="n"/>
      <c r="E201" s="15" t="n"/>
      <c r="F201" s="15" t="n"/>
      <c r="G201" s="15" t="n"/>
      <c r="H201" s="15" t="n"/>
      <c r="I201" s="15" t="n"/>
      <c r="J201" s="15" t="n"/>
      <c r="K201" s="15" t="n"/>
    </row>
    <row r="202" ht="18" customHeight="1">
      <c r="A202" s="18" t="n"/>
      <c r="B202" s="18" t="n"/>
      <c r="C202" s="18" t="n"/>
      <c r="D202" s="18" t="n"/>
      <c r="E202" s="18" t="n"/>
      <c r="F202" s="18" t="n"/>
      <c r="G202" s="18" t="n"/>
      <c r="H202" s="18" t="n"/>
      <c r="I202" s="18" t="n"/>
      <c r="J202" s="18" t="n"/>
      <c r="K202" s="18" t="n"/>
    </row>
  </sheetData>
  <mergeCells count="1">
    <mergeCell ref="A1:K1"/>
  </mergeCells>
  <conditionalFormatting sqref="I3:I202">
    <cfRule type="expression" priority="1" dxfId="2">
      <formula>I3="Resolvido"</formula>
    </cfRule>
    <cfRule type="expression" priority="2" dxfId="1">
      <formula>I3="Aberto"</formula>
    </cfRule>
    <cfRule type="expression" priority="3" dxfId="3">
      <formula>I3="Escalado"</formula>
    </cfRule>
    <cfRule type="expression" priority="4" dxfId="0">
      <formula>I3="Em Análise"</formula>
    </cfRule>
  </conditionalFormatting>
  <dataValidations count="2">
    <dataValidation sqref="E3:E202" showDropDown="0" showInputMessage="0" showErrorMessage="0" allowBlank="1" type="list">
      <formula1>"Erro de Dados,Fraude Detectada,Irregularidade,Risco Operacional,Pagamento em Atraso,Outro"</formula1>
    </dataValidation>
    <dataValidation sqref="I3:I202" showDropDown="0" showInputMessage="0" showErrorMessage="0" allowBlank="1" type="list">
      <formula1>"Aberto,Em Análise,Resolvido,Escalado"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2026-03-29T13:45:40Z</dcterms:created>
  <dcterms:modified xmlns:dcterms="http://purl.org/dc/terms/" xmlns:xsi="http://www.w3.org/2001/XMLSchema-instance" xsi:type="dcterms:W3CDTF">2026-04-30T19:20:52Z</dcterms:modified>
</cp:coreProperties>
</file>