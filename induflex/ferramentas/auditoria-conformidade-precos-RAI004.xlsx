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1" activeTab="1" autoFilterDateGrouping="1"/>
  </bookViews>
  <sheets>
    <sheet xmlns:r="http://schemas.openxmlformats.org/officeDocument/2006/relationships" name="📋 Tabela de Preços" sheetId="1" state="visible" r:id="rId1"/>
    <sheet xmlns:r="http://schemas.openxmlformats.org/officeDocument/2006/relationships" name="🔍 Análise de Auditoria" sheetId="2" state="visible" r:id="rId2"/>
    <sheet xmlns:r="http://schemas.openxmlformats.org/officeDocument/2006/relationships" name="📎 Fontes e Evidência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\€#,##0.00"/>
    <numFmt numFmtId="165" formatCode="0.0%"/>
    <numFmt numFmtId="166" formatCode="0.000"/>
    <numFmt numFmtId="167" formatCode="_-* #,##0.00\ &quot;€&quot;_-;\-* #,##0.00\ &quot;€&quot;_-;_-* &quot;-&quot;??\ &quot;€&quot;_-;_-@_-"/>
  </numFmts>
  <fonts count="2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18096"/>
      <sz val="9"/>
    </font>
    <font>
      <name val="Arial"/>
      <b val="1"/>
      <color rgb="FFFFFFFF"/>
      <sz val="10"/>
    </font>
    <font>
      <name val="Arial"/>
      <color rgb="FF4A5568"/>
      <sz val="10"/>
    </font>
    <font>
      <name val="Arial"/>
      <color rgb="FF000000"/>
      <sz val="10"/>
    </font>
    <font>
      <name val="Arial"/>
      <b val="1"/>
      <color rgb="FFC0392B"/>
      <sz val="10"/>
    </font>
    <font>
      <name val="Arial"/>
      <i val="1"/>
      <color rgb="FF4A5568"/>
      <sz val="10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color rgb="FF4A5568"/>
      <sz val="9"/>
    </font>
    <font>
      <name val="Arial"/>
      <color rgb="FF0000FF"/>
      <sz val="9"/>
    </font>
    <font>
      <name val="Arial"/>
      <color rgb="FF000000"/>
      <sz val="9"/>
    </font>
    <font>
      <name val="Arial"/>
      <b val="1"/>
      <color rgb="FF000000"/>
      <sz val="9"/>
    </font>
    <font>
      <name val="Arial"/>
      <b val="1"/>
      <color rgb="FF000000"/>
      <sz val="10"/>
    </font>
    <font>
      <name val="Arial"/>
      <b val="1"/>
      <color rgb="FF1B3A6B"/>
      <sz val="10"/>
    </font>
    <font>
      <name val="Arial"/>
      <b val="1"/>
      <color rgb="FF000000"/>
      <sz val="11"/>
    </font>
    <font>
      <name val="Arial"/>
      <b val="1"/>
      <color rgb="FFC0392B"/>
      <sz val="9"/>
    </font>
    <font>
      <name val="Calibri"/>
      <family val="2"/>
      <color theme="1"/>
      <sz val="11"/>
      <scheme val="minor"/>
    </font>
    <font>
      <name val="Arial"/>
      <b val="1"/>
      <color rgb="FFB45309"/>
      <sz val="9"/>
    </font>
    <font>
      <name val="Arial"/>
      <b val="1"/>
      <color rgb="FFB45309"/>
      <sz val="10"/>
    </font>
    <font>
      <name val="Arial"/>
      <b val="1"/>
      <color rgb="FFC0392B"/>
      <sz val="12"/>
    </font>
    <font>
      <name val="Arial"/>
      <color rgb="FFFFFFFF"/>
      <sz val="9"/>
    </font>
    <font>
      <name val="Arial"/>
      <color rgb="FF718096"/>
      <sz val="9"/>
    </font>
    <font>
      <name val="Arial"/>
      <charset val="1"/>
      <color rgb="FF4A5568"/>
      <sz val="10"/>
    </font>
    <font>
      <name val="Arial"/>
      <charset val="1"/>
      <color rgb="FF0000FF"/>
      <sz val="10"/>
    </font>
    <font>
      <name val="Calibri"/>
      <charset val="1"/>
      <color theme="1"/>
      <sz val="10"/>
    </font>
  </fonts>
  <fills count="15">
    <fill>
      <patternFill/>
    </fill>
    <fill>
      <patternFill patternType="gray125"/>
    </fill>
    <fill>
      <patternFill patternType="solid">
        <fgColor rgb="FF2E5FA3"/>
      </patternFill>
    </fill>
    <fill>
      <patternFill patternType="solid">
        <fgColor rgb="FF1A6B3A"/>
      </patternFill>
    </fill>
    <fill>
      <patternFill patternType="solid">
        <fgColor rgb="FFD6F7E4"/>
      </patternFill>
    </fill>
    <fill>
      <patternFill patternType="solid">
        <fgColor rgb="FFB45309"/>
      </patternFill>
    </fill>
    <fill>
      <patternFill patternType="solid">
        <fgColor rgb="FF1B3A6B"/>
      </patternFill>
    </fill>
    <fill>
      <patternFill patternType="solid">
        <fgColor rgb="FFC0392B"/>
      </patternFill>
    </fill>
    <fill>
      <patternFill patternType="solid">
        <fgColor rgb="FFFFF9C4"/>
      </patternFill>
    </fill>
    <fill>
      <patternFill patternType="solid">
        <fgColor rgb="FFFEF3C7"/>
      </patternFill>
    </fill>
    <fill>
      <patternFill patternType="solid">
        <fgColor rgb="FFF5F7FA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5F7FA"/>
        <bgColor indexed="64"/>
      </patternFill>
    </fill>
    <fill>
      <patternFill patternType="solid">
        <fgColor rgb="FFFFF9C4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2">
    <xf numFmtId="0" fontId="18" fillId="0" borderId="0"/>
    <xf numFmtId="167" fontId="18" fillId="0" borderId="0"/>
  </cellStyleXfs>
  <cellXfs count="110">
    <xf numFmtId="0" fontId="0" fillId="0" borderId="0" pivotButton="0" quotePrefix="0" xfId="0"/>
    <xf numFmtId="0" fontId="0" fillId="0" borderId="0" pivotButton="0" quotePrefix="0" xfId="0"/>
    <xf numFmtId="164" fontId="19" fillId="9" borderId="4" applyAlignment="1" pivotButton="0" quotePrefix="0" xfId="0">
      <alignment horizontal="center" vertical="center"/>
    </xf>
    <xf numFmtId="164" fontId="20" fillId="9" borderId="4" applyAlignment="1" pivotButton="0" quotePrefix="0" xfId="0">
      <alignment horizontal="center" vertical="center"/>
    </xf>
    <xf numFmtId="164" fontId="21" fillId="11" borderId="4" applyAlignment="1" pivotButton="0" quotePrefix="0" xfId="0">
      <alignment horizontal="center" vertical="center"/>
    </xf>
    <xf numFmtId="165" fontId="22" fillId="6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164" fontId="13" fillId="4" borderId="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3" fillId="10" borderId="4" applyAlignment="1" pivotButton="0" quotePrefix="0" xfId="0">
      <alignment horizontal="center" vertical="center"/>
    </xf>
    <xf numFmtId="0" fontId="24" fillId="13" borderId="4" pivotButton="0" quotePrefix="0" xfId="0"/>
    <xf numFmtId="0" fontId="25" fillId="14" borderId="4" pivotButton="0" quotePrefix="0" xfId="0"/>
    <xf numFmtId="0" fontId="25" fillId="14" borderId="2" pivotButton="0" quotePrefix="0" xfId="0"/>
    <xf numFmtId="0" fontId="26" fillId="14" borderId="4" pivotButton="0" quotePrefix="0" xfId="0"/>
    <xf numFmtId="0" fontId="25" fillId="14" borderId="4" applyAlignment="1" pivotButton="0" quotePrefix="0" xfId="0">
      <alignment horizontal="center"/>
    </xf>
    <xf numFmtId="0" fontId="9" fillId="6" borderId="8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10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left" vertical="center"/>
    </xf>
    <xf numFmtId="0" fontId="4" fillId="10" borderId="4" applyAlignment="1" pivotButton="0" quotePrefix="0" xfId="0">
      <alignment horizontal="center" vertical="center"/>
    </xf>
    <xf numFmtId="0" fontId="4" fillId="12" borderId="4" applyAlignment="1" pivotButton="0" quotePrefix="0" xfId="0">
      <alignment horizontal="left" vertical="center"/>
    </xf>
    <xf numFmtId="0" fontId="4" fillId="12" borderId="4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11" borderId="0" applyAlignment="1" pivotButton="0" quotePrefix="0" xfId="0">
      <alignment horizontal="left" vertical="center"/>
    </xf>
    <xf numFmtId="0" fontId="7" fillId="10" borderId="4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/>
    </xf>
    <xf numFmtId="0" fontId="11" fillId="8" borderId="4" applyAlignment="1" pivotButton="0" quotePrefix="0" xfId="0">
      <alignment vertical="center"/>
    </xf>
    <xf numFmtId="0" fontId="11" fillId="8" borderId="4" applyAlignment="1" pivotButton="0" quotePrefix="0" xfId="0">
      <alignment horizontal="center" vertical="center"/>
    </xf>
    <xf numFmtId="166" fontId="11" fillId="8" borderId="4" applyAlignment="1" pivotButton="0" quotePrefix="0" xfId="0">
      <alignment horizontal="center" vertical="center"/>
    </xf>
    <xf numFmtId="166" fontId="12" fillId="10" borderId="4" applyAlignment="1" pivotButton="0" quotePrefix="0" xfId="0">
      <alignment horizontal="center" vertical="center"/>
    </xf>
    <xf numFmtId="164" fontId="12" fillId="10" borderId="4" applyAlignment="1" pivotButton="0" quotePrefix="0" xfId="0">
      <alignment horizontal="center" vertical="center"/>
    </xf>
    <xf numFmtId="167" fontId="11" fillId="8" borderId="4" applyAlignment="1" pivotButton="0" quotePrefix="0" xfId="1">
      <alignment horizontal="center" vertical="center"/>
    </xf>
    <xf numFmtId="164" fontId="13" fillId="10" borderId="4" applyAlignment="1" pivotButton="0" quotePrefix="0" xfId="0">
      <alignment horizontal="center" vertical="center"/>
    </xf>
    <xf numFmtId="164" fontId="17" fillId="11" borderId="4" applyAlignment="1" pivotButton="0" quotePrefix="0" xfId="0">
      <alignment horizontal="center" vertical="center"/>
    </xf>
    <xf numFmtId="165" fontId="13" fillId="10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left" vertical="center"/>
    </xf>
    <xf numFmtId="0" fontId="10" fillId="12" borderId="4" applyAlignment="1" pivotButton="0" quotePrefix="0" xfId="0">
      <alignment horizontal="center" vertical="center"/>
    </xf>
    <xf numFmtId="166" fontId="12" fillId="12" borderId="4" applyAlignment="1" pivotButton="0" quotePrefix="0" xfId="0">
      <alignment horizontal="center" vertical="center"/>
    </xf>
    <xf numFmtId="164" fontId="12" fillId="12" borderId="4" applyAlignment="1" pivotButton="0" quotePrefix="0" xfId="0">
      <alignment horizontal="center" vertical="center"/>
    </xf>
    <xf numFmtId="164" fontId="13" fillId="12" borderId="4" applyAlignment="1" pivotButton="0" quotePrefix="0" xfId="0">
      <alignment horizontal="center" vertical="center"/>
    </xf>
    <xf numFmtId="165" fontId="13" fillId="12" borderId="4" applyAlignment="1" pivotButton="0" quotePrefix="0" xfId="0">
      <alignment horizontal="center" vertical="center"/>
    </xf>
    <xf numFmtId="0" fontId="10" fillId="12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left" vertical="center"/>
    </xf>
    <xf numFmtId="164" fontId="14" fillId="4" borderId="4" applyAlignment="1" pivotButton="0" quotePrefix="0" xfId="0">
      <alignment horizontal="center" vertical="center"/>
    </xf>
    <xf numFmtId="164" fontId="14" fillId="9" borderId="8" applyAlignment="1" pivotButton="0" quotePrefix="0" xfId="0">
      <alignment horizontal="center" vertical="center"/>
    </xf>
    <xf numFmtId="164" fontId="14" fillId="10" borderId="4" applyAlignment="1" pivotButton="0" quotePrefix="0" xfId="0">
      <alignment horizontal="center" vertical="center"/>
    </xf>
    <xf numFmtId="164" fontId="13" fillId="12" borderId="0" applyAlignment="1" pivotButton="0" quotePrefix="0" xfId="0">
      <alignment vertical="center"/>
    </xf>
    <xf numFmtId="164" fontId="13" fillId="12" borderId="1" applyAlignment="1" pivotButton="0" quotePrefix="0" xfId="0">
      <alignment vertical="center"/>
    </xf>
    <xf numFmtId="0" fontId="15" fillId="10" borderId="5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5" fillId="10" borderId="6" applyAlignment="1" pivotButton="0" quotePrefix="0" xfId="0">
      <alignment horizontal="left" vertical="center"/>
    </xf>
    <xf numFmtId="0" fontId="16" fillId="10" borderId="7" applyAlignment="1" pivotButton="0" quotePrefix="0" xfId="0">
      <alignment horizontal="center" vertical="center"/>
    </xf>
    <xf numFmtId="0" fontId="15" fillId="12" borderId="5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15" fillId="12" borderId="6" applyAlignment="1" pivotButton="0" quotePrefix="0" xfId="0">
      <alignment horizontal="left" vertical="center"/>
    </xf>
    <xf numFmtId="0" fontId="16" fillId="12" borderId="7" applyAlignment="1" pivotButton="0" quotePrefix="0" xfId="0">
      <alignment horizontal="center" vertical="center"/>
    </xf>
    <xf numFmtId="0" fontId="15" fillId="10" borderId="5" applyAlignment="1" pivotButton="0" quotePrefix="0" xfId="0">
      <alignment horizontal="left" vertical="top"/>
    </xf>
    <xf numFmtId="0" fontId="15" fillId="10" borderId="0" applyAlignment="1" pivotButton="0" quotePrefix="0" xfId="0">
      <alignment horizontal="left" vertical="top"/>
    </xf>
    <xf numFmtId="0" fontId="15" fillId="10" borderId="6" applyAlignment="1" pivotButton="0" quotePrefix="0" xfId="0">
      <alignment horizontal="left" vertical="top"/>
    </xf>
    <xf numFmtId="0" fontId="16" fillId="10" borderId="4" applyAlignment="1" pivotButton="0" quotePrefix="0" xfId="0">
      <alignment horizontal="center" vertical="center"/>
    </xf>
    <xf numFmtId="164" fontId="16" fillId="12" borderId="4" applyAlignment="1" pivotButton="0" quotePrefix="0" xfId="0">
      <alignment horizontal="center" vertical="center"/>
    </xf>
    <xf numFmtId="165" fontId="16" fillId="10" borderId="4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10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left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left" vertical="center" wrapText="1"/>
    </xf>
    <xf numFmtId="0" fontId="10" fillId="11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left" vertical="center" wrapText="1"/>
    </xf>
    <xf numFmtId="0" fontId="17" fillId="11" borderId="4" applyAlignment="1" pivotButton="0" quotePrefix="0" xfId="0">
      <alignment horizontal="left" vertical="center" wrapText="1"/>
    </xf>
    <xf numFmtId="166" fontId="11" fillId="8" borderId="4" applyAlignment="1" pivotButton="0" quotePrefix="0" xfId="0">
      <alignment horizontal="center" vertical="center"/>
    </xf>
    <xf numFmtId="166" fontId="12" fillId="10" borderId="4" applyAlignment="1" pivotButton="0" quotePrefix="0" xfId="0">
      <alignment horizontal="center" vertical="center"/>
    </xf>
    <xf numFmtId="164" fontId="12" fillId="10" borderId="4" applyAlignment="1" pivotButton="0" quotePrefix="0" xfId="0">
      <alignment horizontal="center" vertical="center"/>
    </xf>
    <xf numFmtId="164" fontId="13" fillId="4" borderId="4" applyAlignment="1" pivotButton="0" quotePrefix="0" xfId="0">
      <alignment horizontal="center" vertical="center"/>
    </xf>
    <xf numFmtId="167" fontId="11" fillId="8" borderId="4" applyAlignment="1" pivotButton="0" quotePrefix="0" xfId="1">
      <alignment horizontal="center" vertical="center"/>
    </xf>
    <xf numFmtId="164" fontId="19" fillId="9" borderId="4" applyAlignment="1" pivotButton="0" quotePrefix="0" xfId="0">
      <alignment horizontal="center" vertical="center"/>
    </xf>
    <xf numFmtId="164" fontId="13" fillId="10" borderId="4" applyAlignment="1" pivotButton="0" quotePrefix="0" xfId="0">
      <alignment horizontal="center" vertical="center"/>
    </xf>
    <xf numFmtId="164" fontId="17" fillId="11" borderId="4" applyAlignment="1" pivotButton="0" quotePrefix="0" xfId="0">
      <alignment horizontal="center" vertical="center"/>
    </xf>
    <xf numFmtId="165" fontId="13" fillId="10" borderId="4" applyAlignment="1" pivotButton="0" quotePrefix="0" xfId="0">
      <alignment horizontal="center" vertical="center"/>
    </xf>
    <xf numFmtId="166" fontId="12" fillId="12" borderId="4" applyAlignment="1" pivotButton="0" quotePrefix="0" xfId="0">
      <alignment horizontal="center" vertical="center"/>
    </xf>
    <xf numFmtId="164" fontId="12" fillId="12" borderId="4" applyAlignment="1" pivotButton="0" quotePrefix="0" xfId="0">
      <alignment horizontal="center" vertical="center"/>
    </xf>
    <xf numFmtId="164" fontId="13" fillId="12" borderId="4" applyAlignment="1" pivotButton="0" quotePrefix="0" xfId="0">
      <alignment horizontal="center" vertical="center"/>
    </xf>
    <xf numFmtId="165" fontId="13" fillId="12" borderId="4" applyAlignment="1" pivotButton="0" quotePrefix="0" xfId="0">
      <alignment horizontal="center" vertical="center"/>
    </xf>
    <xf numFmtId="164" fontId="14" fillId="4" borderId="4" applyAlignment="1" pivotButton="0" quotePrefix="0" xfId="0">
      <alignment horizontal="center" vertical="center"/>
    </xf>
    <xf numFmtId="164" fontId="14" fillId="9" borderId="8" applyAlignment="1" pivotButton="0" quotePrefix="0" xfId="0">
      <alignment horizontal="center" vertical="center"/>
    </xf>
    <xf numFmtId="164" fontId="20" fillId="9" borderId="4" applyAlignment="1" pivotButton="0" quotePrefix="0" xfId="0">
      <alignment horizontal="center" vertical="center"/>
    </xf>
    <xf numFmtId="164" fontId="14" fillId="10" borderId="4" applyAlignment="1" pivotButton="0" quotePrefix="0" xfId="0">
      <alignment horizontal="center" vertical="center"/>
    </xf>
    <xf numFmtId="164" fontId="21" fillId="11" borderId="4" applyAlignment="1" pivotButton="0" quotePrefix="0" xfId="0">
      <alignment horizontal="center" vertical="center"/>
    </xf>
    <xf numFmtId="165" fontId="22" fillId="6" borderId="4" applyAlignment="1" pivotButton="0" quotePrefix="0" xfId="0">
      <alignment horizontal="center" vertical="center"/>
    </xf>
    <xf numFmtId="164" fontId="13" fillId="12" borderId="0" applyAlignment="1" pivotButton="0" quotePrefix="0" xfId="0">
      <alignment vertical="center"/>
    </xf>
    <xf numFmtId="164" fontId="13" fillId="12" borderId="1" applyAlignment="1" pivotButton="0" quotePrefix="0" xfId="0">
      <alignment vertical="center"/>
    </xf>
    <xf numFmtId="0" fontId="15" fillId="10" borderId="10" applyAlignment="1" pivotButton="0" quotePrefix="0" xfId="0">
      <alignment horizontal="left" vertical="center"/>
    </xf>
    <xf numFmtId="0" fontId="0" fillId="0" borderId="6" pivotButton="0" quotePrefix="0" xfId="0"/>
    <xf numFmtId="0" fontId="15" fillId="12" borderId="10" applyAlignment="1" pivotButton="0" quotePrefix="0" xfId="0">
      <alignment horizontal="left" vertical="center"/>
    </xf>
    <xf numFmtId="0" fontId="15" fillId="10" borderId="10" applyAlignment="1" pivotButton="0" quotePrefix="0" xfId="0">
      <alignment horizontal="left" vertical="top"/>
    </xf>
    <xf numFmtId="164" fontId="16" fillId="12" borderId="4" applyAlignment="1" pivotButton="0" quotePrefix="0" xfId="0">
      <alignment horizontal="center" vertical="center"/>
    </xf>
    <xf numFmtId="165" fontId="16" fillId="10" borderId="4" applyAlignment="1" pivotButton="0" quotePrefix="0" xfId="0">
      <alignment horizontal="center" vertical="center"/>
    </xf>
  </cellXfs>
  <cellStyles count="2">
    <cellStyle name="Normal" xfId="0" builtinId="0"/>
    <cellStyle name="Moeda" xfId="1" builtinId="4"/>
  </cellStyles>
  <dxfs count="10">
    <dxf>
      <font>
        <name val="Arial"/>
        <b val="1"/>
        <color rgb="FF1A6B3A"/>
        <sz val="9"/>
      </font>
      <fill>
        <patternFill patternType="solid">
          <fgColor rgb="FFD6F7E4"/>
        </patternFill>
      </fill>
    </dxf>
    <dxf>
      <font>
        <name val="Arial"/>
        <b val="1"/>
        <color rgb="FFC0392B"/>
        <sz val="9"/>
      </font>
      <fill>
        <patternFill patternType="solid">
          <fgColor rgb="FFFADBD8"/>
        </patternFill>
      </fill>
    </dxf>
    <dxf>
      <font>
        <name val="Arial"/>
        <b val="1"/>
        <color rgb="FFC0392B"/>
        <sz val="9"/>
      </font>
      <fill>
        <patternFill patternType="solid">
          <fgColor rgb="FFFADBD8"/>
        </patternFill>
      </fill>
    </dxf>
    <dxf>
      <font>
        <name val="Arial"/>
        <b val="1"/>
        <color rgb="FF1A6B3A"/>
        <sz val="9"/>
      </font>
      <fill>
        <patternFill patternType="solid">
          <fgColor rgb="FFD6F7E4"/>
        </patternFill>
      </fill>
    </dxf>
    <dxf>
      <font>
        <name val="Arial"/>
        <b val="1"/>
        <color rgb="FFC0392B"/>
        <sz val="9"/>
      </font>
      <fill>
        <patternFill patternType="solid">
          <fgColor rgb="FFFADBD8"/>
        </patternFill>
      </fill>
    </dxf>
    <dxf>
      <font>
        <name val="Arial"/>
        <b val="1"/>
        <color rgb="FF1A6B3A"/>
        <sz val="9"/>
      </font>
      <fill>
        <patternFill patternType="solid">
          <fgColor rgb="FFD6F7E4"/>
        </patternFill>
      </fill>
    </dxf>
    <dxf>
      <font>
        <name val="Arial"/>
        <b val="1"/>
        <color rgb="FFC0392B"/>
        <sz val="9"/>
      </font>
      <fill>
        <patternFill patternType="solid">
          <fgColor rgb="FFFADBD8"/>
        </patternFill>
      </fill>
    </dxf>
    <dxf>
      <font>
        <name val="Arial"/>
        <b val="1"/>
        <color rgb="FFC0392B"/>
        <sz val="9"/>
      </font>
      <fill>
        <patternFill patternType="solid">
          <fgColor rgb="FFFADBD8"/>
        </patternFill>
      </fill>
    </dxf>
    <dxf>
      <font>
        <name val="Arial"/>
        <b val="1"/>
        <color rgb="FF1A6B3A"/>
        <sz val="9"/>
      </font>
      <fill>
        <patternFill patternType="solid">
          <fgColor rgb="FFD6F7E4"/>
        </patternFill>
      </fill>
    </dxf>
    <dxf>
      <font>
        <name val="Arial"/>
        <b val="1"/>
        <color rgb="FFC0392B"/>
        <sz val="9"/>
      </font>
      <fill>
        <patternFill patternType="solid">
          <f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" customWidth="1" style="18" min="1" max="1"/>
    <col width="28" customWidth="1" style="18" min="2" max="2"/>
    <col width="20" customWidth="1" style="18" min="3" max="4"/>
    <col width="37.85546875" customWidth="1" style="18" min="5" max="5"/>
    <col width="3" customWidth="1" style="18" min="6" max="6"/>
  </cols>
  <sheetData>
    <row r="1" ht="36" customHeight="1" s="18">
      <c r="B1" s="17" t="inlineStr">
        <is>
          <t>EMPRESA MANUFATUREIRA — TABELA DE PREÇOS FORNECEDOR DE CASCOS (REFERÊNCIA)</t>
        </is>
      </c>
    </row>
    <row r="2" ht="18" customHeight="1" s="18">
      <c r="B2" s="19" t="inlineStr">
        <is>
          <t>Fonte: Tabela manuscrita — Responsável Comercial Fornecedor de Cascos  |  RAI-2026-004</t>
        </is>
      </c>
    </row>
    <row r="3" ht="9.949999999999999" customHeight="1" s="18"/>
    <row r="4" ht="21.95" customHeight="1" s="18">
      <c r="B4" s="20" t="inlineStr">
        <is>
          <t>Tipo de Modelo</t>
        </is>
      </c>
      <c r="C4" s="20" t="inlineStr">
        <is>
          <t>Preço (€/m³)</t>
        </is>
      </c>
      <c r="D4" s="20" t="inlineStr">
        <is>
          <t>Preço por Unidade</t>
        </is>
      </c>
      <c r="E4" s="20" t="inlineStr">
        <is>
          <t>Observações</t>
        </is>
      </c>
    </row>
    <row r="5" ht="20.1" customHeight="1" s="18">
      <c r="B5" s="21" t="inlineStr">
        <is>
          <t>Modelo Recto</t>
        </is>
      </c>
      <c r="C5" s="22" t="inlineStr">
        <is>
          <t>60,00 €/m³</t>
        </is>
      </c>
      <c r="D5" s="22" t="inlineStr">
        <is>
          <t>—</t>
        </is>
      </c>
      <c r="E5" s="21" t="inlineStr">
        <is>
          <t>Aplicável a cascos rectos standard</t>
        </is>
      </c>
    </row>
    <row r="6" ht="20.1" customHeight="1" s="18">
      <c r="B6" s="23" t="inlineStr">
        <is>
          <t>Modelo Curvo / Canto / Banana</t>
        </is>
      </c>
      <c r="C6" s="24" t="inlineStr">
        <is>
          <t>80,00 €/m³</t>
        </is>
      </c>
      <c r="D6" s="24" t="inlineStr">
        <is>
          <t>—</t>
        </is>
      </c>
      <c r="E6" s="23" t="inlineStr">
        <is>
          <t>Prevalece sobre o rodapé quando integrado</t>
        </is>
      </c>
    </row>
    <row r="7" ht="20.1" customHeight="1" s="18">
      <c r="B7" s="21" t="inlineStr">
        <is>
          <t>Modelo com Rodapé (separado)</t>
        </is>
      </c>
      <c r="C7" s="22" t="inlineStr">
        <is>
          <t>70,00 €/m³</t>
        </is>
      </c>
      <c r="D7" s="22" t="inlineStr">
        <is>
          <t>—</t>
        </is>
      </c>
      <c r="E7" s="21" t="inlineStr">
        <is>
          <t>Só quando rodapé solicitado separadamente</t>
        </is>
      </c>
    </row>
    <row r="8" ht="20.1" customHeight="1" s="18">
      <c r="B8" s="23" t="inlineStr">
        <is>
          <t>Cadeira / Maple / Banco de Bar</t>
        </is>
      </c>
      <c r="C8" s="24" t="inlineStr">
        <is>
          <t>60,00 €/m³</t>
        </is>
      </c>
      <c r="D8" s="24" t="inlineStr">
        <is>
          <t>+ 5,00 € por pé</t>
        </is>
      </c>
      <c r="E8" s="23" t="inlineStr">
        <is>
          <t>Acréscimo por pé a confirmar com fornecedor</t>
        </is>
      </c>
    </row>
    <row r="9" ht="9.949999999999999" customHeight="1" s="18"/>
    <row r="10" ht="18" customHeight="1" s="18">
      <c r="B10" s="25" t="inlineStr">
        <is>
          <t>CRITÉRIO ACORDADO — Modelo Curvo com Rodapé Integrado</t>
        </is>
      </c>
    </row>
    <row r="11" ht="36" customHeight="1" s="18">
      <c r="B11" s="26" t="inlineStr">
        <is>
          <t>Quando o pedido for um casco completo (recto ou curvo) com rodapé integrado, aplica-se um único preço: 60€/m³ (recto) ou 80€/m³ (curvo). O preço de 70€/m³ (rodapé) aplica-se APENAS quando o rodapé é solicitado separadamente do casco.</t>
        </is>
      </c>
      <c r="C11" s="27" t="n"/>
      <c r="D11" s="27" t="n"/>
      <c r="E11" s="28" t="n"/>
    </row>
    <row r="12" ht="9.949999999999999" customHeight="1" s="18"/>
    <row r="13" ht="18" customHeight="1" s="18">
      <c r="B13" s="29" t="inlineStr">
        <is>
          <t>VALIDAÇÃO DO CRITÉRIO — Confirmar com CFO antes de usar como base de cálculo</t>
        </is>
      </c>
    </row>
    <row r="14" ht="20.1" customHeight="1" s="18">
      <c r="B14" s="30" t="inlineStr">
        <is>
          <t>Aprovado por (CFO): ___________________________    Data: ___ / ___ / 2026</t>
        </is>
      </c>
      <c r="C14" s="27" t="n"/>
      <c r="D14" s="27" t="n"/>
      <c r="E14" s="28" t="n"/>
    </row>
    <row r="15" ht="20.1" customHeight="1" s="18">
      <c r="B15" s="30" t="inlineStr">
        <is>
          <t>Observações: _____________________________________________________________</t>
        </is>
      </c>
      <c r="C15" s="27" t="n"/>
      <c r="D15" s="27" t="n"/>
      <c r="E15" s="28" t="n"/>
    </row>
  </sheetData>
  <mergeCells count="7">
    <mergeCell ref="B1:E1"/>
    <mergeCell ref="B13:E13"/>
    <mergeCell ref="B15:E15"/>
    <mergeCell ref="B11:E11"/>
    <mergeCell ref="B2:E2"/>
    <mergeCell ref="B10:E10"/>
    <mergeCell ref="B14:E14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tabSelected="1" zoomScaleNormal="100" workbookViewId="0">
      <pane ySplit="4" topLeftCell="A5" activePane="bottomLeft" state="frozen"/>
      <selection pane="bottomLeft" activeCell="L56" sqref="L56"/>
    </sheetView>
  </sheetViews>
  <sheetFormatPr baseColWidth="8" defaultRowHeight="15"/>
  <cols>
    <col width="6.5703125" customWidth="1" style="18" min="1" max="1"/>
    <col width="24" customWidth="1" style="18" min="2" max="2"/>
    <col width="18.42578125" customWidth="1" style="18" min="3" max="3"/>
    <col width="14" customWidth="1" style="18" min="4" max="4"/>
    <col width="12" customWidth="1" style="18" min="5" max="6"/>
    <col width="14" customWidth="1" style="18" min="7" max="9"/>
    <col width="16" customWidth="1" style="18" min="10" max="11"/>
    <col width="12" customWidth="1" style="18" min="12" max="12"/>
    <col width="18" customWidth="1" style="18" min="13" max="13"/>
    <col width="16" customWidth="1" style="18" min="14" max="14"/>
    <col width="18" customWidth="1" style="18" min="15" max="15"/>
    <col width="12" customWidth="1" style="18" min="16" max="16"/>
    <col width="22" customWidth="1" style="18" min="17" max="17"/>
  </cols>
  <sheetData>
    <row r="1" ht="36" customHeight="1" s="18">
      <c r="A1" s="31" t="inlineStr">
        <is>
          <t>EMPRESA MANUFATUREIRA — AUDITORIA DE CONFORMIDADE DE PREÇOS — FORNECEDOR DE CASCOS  |  RAI-2026-004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8" t="n"/>
    </row>
    <row r="2" ht="18" customHeight="1" s="18">
      <c r="A2" s="10" t="inlineStr">
        <is>
          <t>Período: Fev–Abr 2026  |  Células AMARELAS = input manual  |  Células BRANCAS/COLORIDAS = cálculo automático  |  Coluna L = nº de unidades por modelo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8" t="n"/>
    </row>
    <row r="3" ht="9.949999999999999" customHeight="1" s="18"/>
    <row r="4" ht="21.95" customHeight="1" s="18">
      <c r="A4" s="32" t="inlineStr">
        <is>
          <t>Nº</t>
        </is>
      </c>
      <c r="B4" s="32" t="inlineStr">
        <is>
          <t>Ref. / Modelo</t>
        </is>
      </c>
      <c r="C4" s="32" t="inlineStr">
        <is>
          <t>Nº Factura</t>
        </is>
      </c>
      <c r="D4" s="32" t="inlineStr">
        <is>
          <t>Tipo</t>
        </is>
      </c>
      <c r="E4" s="33" t="inlineStr">
        <is>
          <t>Larg. (m)</t>
        </is>
      </c>
      <c r="F4" s="33" t="inlineStr">
        <is>
          <t>Alt. (m)</t>
        </is>
      </c>
      <c r="G4" s="33" t="inlineStr">
        <is>
          <t>Prof. (m)</t>
        </is>
      </c>
      <c r="H4" s="32" t="inlineStr">
        <is>
          <t>Vol. m³</t>
        </is>
      </c>
      <c r="I4" s="32" t="inlineStr">
        <is>
          <t>€/m³</t>
        </is>
      </c>
      <c r="J4" s="34" t="inlineStr">
        <is>
          <t>Val. Calc. Unit. (€)</t>
        </is>
      </c>
      <c r="K4" s="35" t="inlineStr">
        <is>
          <t>Val. Fact. Unit. (€)</t>
        </is>
      </c>
      <c r="L4" s="35" t="inlineStr">
        <is>
          <t>Unidades</t>
        </is>
      </c>
      <c r="M4" s="35" t="inlineStr">
        <is>
          <t>Val.Fact Total (€)</t>
        </is>
      </c>
      <c r="N4" s="32" t="inlineStr">
        <is>
          <t>Desvio Unit. (€)</t>
        </is>
      </c>
      <c r="O4" s="36" t="inlineStr">
        <is>
          <t>Desvio TOTAL (€)</t>
        </is>
      </c>
      <c r="P4" s="32" t="inlineStr">
        <is>
          <t>Desvio %</t>
        </is>
      </c>
      <c r="Q4" s="32" t="inlineStr">
        <is>
          <t>Observações</t>
        </is>
      </c>
    </row>
    <row r="5" ht="20.1" customHeight="1" s="18">
      <c r="A5" s="37" t="n">
        <v>1</v>
      </c>
      <c r="B5" s="38" t="inlineStr">
        <is>
          <t>Tulipe Sofá 3 Lugares</t>
        </is>
      </c>
      <c r="C5" s="39" t="inlineStr">
        <is>
          <t>PE13969 – 193F26</t>
        </is>
      </c>
      <c r="D5" s="39" t="inlineStr">
        <is>
          <t>Recto</t>
        </is>
      </c>
      <c r="E5" s="83" t="n">
        <v>1.8</v>
      </c>
      <c r="F5" s="83" t="n">
        <v>0.85</v>
      </c>
      <c r="G5" s="83" t="n">
        <v>0.8</v>
      </c>
      <c r="H5" s="84">
        <f>IFERROR(IF(E5=""," ",E5*F5*G5)," ")</f>
        <v/>
      </c>
      <c r="I5" s="85">
        <f>IFERROR(IF(D5="Recto",60,IF(D5="Curvo",80,IF(D5="Rodapé separado",70,IF(OR(D5="Cadeira/Maple",D5="Banco de Bar"),60," "))))," ")</f>
        <v/>
      </c>
      <c r="J5" s="86">
        <f>IFERROR(IF(OR(H5=" ",I5=" ")," ",H5*I5)," ")</f>
        <v/>
      </c>
      <c r="K5" s="87" t="n">
        <v>72.59999999999999</v>
      </c>
      <c r="L5" s="39" t="n">
        <v>1</v>
      </c>
      <c r="M5" s="88" t="n">
        <v>72.59999999999999</v>
      </c>
      <c r="N5" s="89">
        <f>IFERROR(IF(OR(J5=" ",K5="")," ",K5-J5)," ")</f>
        <v/>
      </c>
      <c r="O5" s="90">
        <f>IFERROR(IF(OR(N5=" ",L5="")," ",N5*L5)," ")</f>
        <v/>
      </c>
      <c r="P5" s="91">
        <f>IFERROR(IF(OR(N5=" ",J5=" ",J5=0)," ",N5/J5)," ")</f>
        <v/>
      </c>
      <c r="Q5" s="47" t="n"/>
    </row>
    <row r="6" ht="20.1" customHeight="1" s="18">
      <c r="A6" s="53" t="n">
        <v>2</v>
      </c>
      <c r="B6" s="38" t="inlineStr">
        <is>
          <t>RP10 Maple OP1</t>
        </is>
      </c>
      <c r="C6" s="39" t="inlineStr">
        <is>
          <t>186F26 – 193F26</t>
        </is>
      </c>
      <c r="D6" s="39" t="inlineStr">
        <is>
          <t>Cadeira/Maple</t>
        </is>
      </c>
      <c r="E6" s="83" t="n">
        <v>0.8</v>
      </c>
      <c r="F6" s="83" t="n">
        <v>0.87</v>
      </c>
      <c r="G6" s="83" t="n">
        <v>0.8</v>
      </c>
      <c r="H6" s="92">
        <f>IFERROR(IF(E6=""," ",E6*F6*G6)," ")</f>
        <v/>
      </c>
      <c r="I6" s="93">
        <f>IFERROR(IF(D6="Recto",60,IF(D6="Curvo",80,IF(D6="Rodapé separado",70,IF(OR(D6="Cadeira/Maple",D6="Banco de Bar"),60," "))))," ")</f>
        <v/>
      </c>
      <c r="J6" s="86">
        <f>IFERROR(IF(OR(H6=" ",I6=" ")," ",H6*I6)," ")</f>
        <v/>
      </c>
      <c r="K6" s="87" t="n">
        <v>58.08</v>
      </c>
      <c r="L6" s="39" t="n">
        <v>30</v>
      </c>
      <c r="M6" s="88">
        <f>IFERROR(IF(OR(K6="",L6="")," ",K6*L6)," ")</f>
        <v/>
      </c>
      <c r="N6" s="94">
        <f>IFERROR(IF(OR(J6=" ",K6="")," ",K6-J6)," ")</f>
        <v/>
      </c>
      <c r="O6" s="90">
        <f>IFERROR(IF(OR(N6=" ",L6="")," ",N6*L6)," ")</f>
        <v/>
      </c>
      <c r="P6" s="95">
        <f>IFERROR(IF(OR(N6=" ",J6=" ",J6=0)," ",N6/J6)," ")</f>
        <v/>
      </c>
      <c r="Q6" s="47" t="inlineStr">
        <is>
          <t>Critério pé a confirmar</t>
        </is>
      </c>
    </row>
    <row r="7" ht="20.1" customHeight="1" s="18">
      <c r="A7" s="37" t="n">
        <v>3</v>
      </c>
      <c r="B7" s="38" t="inlineStr">
        <is>
          <t>AG5 02</t>
        </is>
      </c>
      <c r="C7" s="39" t="inlineStr">
        <is>
          <t>201F26</t>
        </is>
      </c>
      <c r="D7" s="39" t="inlineStr">
        <is>
          <t>Curvo</t>
        </is>
      </c>
      <c r="E7" s="83" t="n">
        <v>3.23</v>
      </c>
      <c r="F7" s="83" t="n">
        <v>0.99</v>
      </c>
      <c r="G7" s="83" t="n">
        <v>0.765</v>
      </c>
      <c r="H7" s="84">
        <f>IFERROR(IF(E7=""," ",E7*F7*G7)," ")</f>
        <v/>
      </c>
      <c r="I7" s="85">
        <f>IFERROR(IF(D7="Recto",60,IF(D7="Curvo",80,IF(D7="Rodapé separado",70,IF(OR(D7="Cadeira/Maple",D7="Banco de Bar"),60," "))))," ")</f>
        <v/>
      </c>
      <c r="J7" s="86">
        <f>IFERROR(IF(OR(H7=" ",I7=" ")," ",H7*I7)," ")</f>
        <v/>
      </c>
      <c r="K7" s="87" t="n">
        <v>226</v>
      </c>
      <c r="L7" s="39" t="n">
        <v>1</v>
      </c>
      <c r="M7" s="88">
        <f>IFERROR(IF(OR(K7="",L7="")," ",K7*L7)," ")</f>
        <v/>
      </c>
      <c r="N7" s="89">
        <f>IFERROR(IF(OR(J7=" ",K7="")," ",K7-J7)," ")</f>
        <v/>
      </c>
      <c r="O7" s="90">
        <f>IFERROR(IF(OR(N7=" ",L7="")," ",N7*L7)," ")</f>
        <v/>
      </c>
      <c r="P7" s="91">
        <f>IFERROR(IF(OR(N7=" ",J7=" ",J7=0)," ",N7/J7)," ")</f>
        <v/>
      </c>
      <c r="Q7" s="47" t="n"/>
    </row>
    <row r="8" ht="20.1" customHeight="1" s="18">
      <c r="A8" s="53" t="n">
        <v>4</v>
      </c>
      <c r="B8" s="38" t="inlineStr">
        <is>
          <t>Venere Sofá 3 Lugares</t>
        </is>
      </c>
      <c r="C8" s="39" t="inlineStr">
        <is>
          <t>PE13990 – 134GR26</t>
        </is>
      </c>
      <c r="D8" s="39" t="inlineStr">
        <is>
          <t>Recto</t>
        </is>
      </c>
      <c r="E8" s="83" t="n">
        <v>2.78</v>
      </c>
      <c r="F8" s="83" t="n">
        <v>0.88</v>
      </c>
      <c r="G8" s="83" t="n">
        <v>0.93</v>
      </c>
      <c r="H8" s="92">
        <f>IFERROR(IF(E8=""," ",E8*F8*G8)," ")</f>
        <v/>
      </c>
      <c r="I8" s="93">
        <f>IFERROR(IF(D8="Recto",60,IF(D8="Curvo",80,IF(D8="Rodapé separado",70,IF(OR(D8="Cadeira/Maple",D8="Banco de Bar"),60," "))))," ")</f>
        <v/>
      </c>
      <c r="J8" s="86">
        <f>IFERROR(IF(OR(H8=" ",I8=" ")," ",H8*I8)," ")</f>
        <v/>
      </c>
      <c r="K8" s="87" t="n">
        <v>180.7</v>
      </c>
      <c r="L8" s="39" t="n">
        <v>1</v>
      </c>
      <c r="M8" s="88">
        <f>IFERROR(IF(OR(K8="",L8="")," ",K8*L8)," ")</f>
        <v/>
      </c>
      <c r="N8" s="94">
        <f>IFERROR(IF(OR(J8=" ",K8="")," ",K8-J8)," ")</f>
        <v/>
      </c>
      <c r="O8" s="90">
        <f>IFERROR(IF(OR(N8=" ",L8="")," ",N8*L8)," ")</f>
        <v/>
      </c>
      <c r="P8" s="95">
        <f>IFERROR(IF(OR(N8=" ",J8=" ",J8=0)," ",N8/J8)," ")</f>
        <v/>
      </c>
      <c r="Q8" s="47" t="n"/>
    </row>
    <row r="9" ht="20.1" customHeight="1" s="18">
      <c r="A9" s="37" t="n">
        <v>5</v>
      </c>
      <c r="B9" s="38" t="inlineStr">
        <is>
          <t>Venere Sofá 2 Lugares</t>
        </is>
      </c>
      <c r="C9" s="39" t="inlineStr">
        <is>
          <t>PE13990 – 134GR26</t>
        </is>
      </c>
      <c r="D9" s="39" t="inlineStr">
        <is>
          <t>Recto</t>
        </is>
      </c>
      <c r="E9" s="39" t="n">
        <v>1.78</v>
      </c>
      <c r="F9" s="83" t="n">
        <v>0.88</v>
      </c>
      <c r="G9" s="83" t="n">
        <v>0.93</v>
      </c>
      <c r="H9" s="84">
        <f>IFERROR(IF(E9=""," ",E9*F9*G9)," ")</f>
        <v/>
      </c>
      <c r="I9" s="85">
        <f>IFERROR(IF(D9="Recto",60,IF(D9="Curvo",80,IF(D9="Rodapé separado",70,IF(OR(D9="Cadeira/Maple",D9="Banco de Bar"),60," "))))," ")</f>
        <v/>
      </c>
      <c r="J9" s="86">
        <f>IFERROR(IF(OR(H9=" ",I9=" ")," ",H9*I9)," ")</f>
        <v/>
      </c>
      <c r="K9" s="87" t="n">
        <v>115.7</v>
      </c>
      <c r="L9" s="39" t="n">
        <v>2</v>
      </c>
      <c r="M9" s="88">
        <f>IFERROR(IF(OR(K9="",L9="")," ",K9*L9)," ")</f>
        <v/>
      </c>
      <c r="N9" s="89">
        <f>IFERROR(IF(OR(J9=" ",K9="")," ",K9-J9)," ")</f>
        <v/>
      </c>
      <c r="O9" s="90">
        <f>IFERROR(IF(OR(N9=" ",L9="")," ",N9*L9)," ")</f>
        <v/>
      </c>
      <c r="P9" s="91">
        <f>IFERROR(IF(OR(N9=" ",J9=" ",J9=0)," ",N9/J9)," ")</f>
        <v/>
      </c>
      <c r="Q9" s="39" t="n"/>
    </row>
    <row r="10" ht="20.1" customHeight="1" s="18">
      <c r="A10" s="53" t="n">
        <v>6</v>
      </c>
      <c r="B10" s="38" t="inlineStr">
        <is>
          <t>Maple Folk Sem Brç 750cm</t>
        </is>
      </c>
      <c r="C10" s="39" t="inlineStr">
        <is>
          <t>PE14018 – 240F26</t>
        </is>
      </c>
      <c r="D10" s="39" t="inlineStr">
        <is>
          <t>Cadeira/Maple</t>
        </is>
      </c>
      <c r="E10" s="39" t="n">
        <v>0.75</v>
      </c>
      <c r="F10" s="39" t="n">
        <v>0.7</v>
      </c>
      <c r="G10" s="39" t="n">
        <v>0.75</v>
      </c>
      <c r="H10" s="92">
        <f>IFERROR(IF(E10=""," ",E10*F10*G10)," ")</f>
        <v/>
      </c>
      <c r="I10" s="93">
        <f>IFERROR(IF(D10="Recto",60,IF(D10="Curvo",80,IF(D10="Rodapé separado",70,IF(OR(D10="Cadeira/Maple",D10="Banco de Bar"),60," "))))," ")</f>
        <v/>
      </c>
      <c r="J10" s="86">
        <f>IFERROR(IF(OR(H10=" ",I10=" ")," ",H10*I10)," ")</f>
        <v/>
      </c>
      <c r="K10" s="87" t="n">
        <v>60</v>
      </c>
      <c r="L10" s="39" t="n">
        <v>20</v>
      </c>
      <c r="M10" s="88">
        <f>IFERROR(IF(OR(K10="",L10="")," ",K10*L10)," ")</f>
        <v/>
      </c>
      <c r="N10" s="94">
        <f>IFERROR(IF(OR(J10=" ",K10="")," ",K10-J10)," ")</f>
        <v/>
      </c>
      <c r="O10" s="90">
        <f>IFERROR(IF(OR(N10=" ",L10="")," ",N10*L10)," ")</f>
        <v/>
      </c>
      <c r="P10" s="95">
        <f>IFERROR(IF(OR(N10=" ",J10=" ",J10=0)," ",N10/J10)," ")</f>
        <v/>
      </c>
      <c r="Q10" s="39" t="n"/>
    </row>
    <row r="11" ht="20.1" customHeight="1" s="18">
      <c r="A11" s="37" t="n">
        <v>7</v>
      </c>
      <c r="B11" s="38" t="inlineStr">
        <is>
          <t>Maple Folk Sem Brç 570cm</t>
        </is>
      </c>
      <c r="C11" s="39" t="inlineStr">
        <is>
          <t>PE14018 – 239F26</t>
        </is>
      </c>
      <c r="D11" s="39" t="inlineStr">
        <is>
          <t>Cadeira/Maple</t>
        </is>
      </c>
      <c r="E11" s="39" t="n">
        <v>0.57</v>
      </c>
      <c r="F11" s="39" t="n">
        <v>0.7</v>
      </c>
      <c r="G11" s="39" t="n">
        <v>0.75</v>
      </c>
      <c r="H11" s="84">
        <f>IFERROR(IF(E11=""," ",E11*F11*G11)," ")</f>
        <v/>
      </c>
      <c r="I11" s="85">
        <f>IFERROR(IF(D11="Recto",60,IF(D11="Curvo",80,IF(D11="Rodapé separado",70,IF(OR(D11="Cadeira/Maple",D11="Banco de Bar"),60," "))))," ")</f>
        <v/>
      </c>
      <c r="J11" s="86">
        <f>IFERROR(IF(OR(H11=" ",I11=" ")," ",H11*I11)," ")</f>
        <v/>
      </c>
      <c r="K11" s="87" t="n">
        <v>65</v>
      </c>
      <c r="L11" s="39" t="n">
        <v>24</v>
      </c>
      <c r="M11" s="88">
        <f>IFERROR(IF(OR(K11="",L11="")," ",K11*L11)," ")</f>
        <v/>
      </c>
      <c r="N11" s="89">
        <f>IFERROR(IF(OR(J11=" ",K11="")," ",K11-J11)," ")</f>
        <v/>
      </c>
      <c r="O11" s="90">
        <f>IFERROR(IF(OR(N11=" ",L11="")," ",N11*L11)," ")</f>
        <v/>
      </c>
      <c r="P11" s="91">
        <f>IFERROR(IF(OR(N11=" ",J11=" ",J11=0)," ",N11/J11)," ")</f>
        <v/>
      </c>
      <c r="Q11" s="39" t="n"/>
    </row>
    <row r="12" ht="20.1" customHeight="1" s="18">
      <c r="A12" s="53" t="n">
        <v>8</v>
      </c>
      <c r="B12" s="38" t="inlineStr">
        <is>
          <t>Maple Folk Canto</t>
        </is>
      </c>
      <c r="C12" s="39" t="inlineStr">
        <is>
          <t>PE14018 – 237F26</t>
        </is>
      </c>
      <c r="D12" s="39" t="inlineStr">
        <is>
          <t>Curvo</t>
        </is>
      </c>
      <c r="E12" s="39" t="n">
        <v>0.7</v>
      </c>
      <c r="F12" s="39" t="n">
        <v>0.7</v>
      </c>
      <c r="G12" s="39" t="n">
        <v>0.75</v>
      </c>
      <c r="H12" s="92">
        <f>IFERROR(IF(E12=""," ",E12*F12*G12)," ")</f>
        <v/>
      </c>
      <c r="I12" s="93">
        <f>IFERROR(IF(D12="Recto",60,IF(D12="Curvo",80,IF(D12="Rodapé separado",70,IF(OR(D12="Cadeira/Maple",D12="Banco de Bar"),60," "))))," ")</f>
        <v/>
      </c>
      <c r="J12" s="86">
        <f>IFERROR(IF(OR(H12=" ",I12=" ")," ",H12*I12)," ")</f>
        <v/>
      </c>
      <c r="K12" s="87" t="n">
        <v>75</v>
      </c>
      <c r="L12" s="39" t="n">
        <v>7</v>
      </c>
      <c r="M12" s="88">
        <f>IFERROR(IF(OR(K12="",L12="")," ",K12*L12)," ")</f>
        <v/>
      </c>
      <c r="N12" s="94">
        <f>IFERROR(IF(OR(J12=" ",K12="")," ",K12-J12)," ")</f>
        <v/>
      </c>
      <c r="O12" s="90">
        <f>IFERROR(IF(OR(N12=" ",L12="")," ",N12*L12)," ")</f>
        <v/>
      </c>
      <c r="P12" s="95">
        <f>IFERROR(IF(OR(N12=" ",J12=" ",J12=0)," ",N12/J12)," ")</f>
        <v/>
      </c>
      <c r="Q12" s="39" t="n"/>
    </row>
    <row r="13" ht="20.1" customHeight="1" s="18">
      <c r="A13" s="37" t="n">
        <v>9</v>
      </c>
      <c r="B13" s="38" t="inlineStr">
        <is>
          <t>Maple Folk Brç ESQ</t>
        </is>
      </c>
      <c r="C13" s="39" t="inlineStr">
        <is>
          <t>PE14018 – 237F26</t>
        </is>
      </c>
      <c r="D13" s="39" t="inlineStr">
        <is>
          <t>Cadeira/Maple</t>
        </is>
      </c>
      <c r="E13" s="39" t="n">
        <v>0.87</v>
      </c>
      <c r="F13" s="39" t="n">
        <v>0.7</v>
      </c>
      <c r="G13" s="39" t="n">
        <v>0.75</v>
      </c>
      <c r="H13" s="84">
        <f>IFERROR(IF(E13=""," ",E13*F13*G13)," ")</f>
        <v/>
      </c>
      <c r="I13" s="85">
        <f>IFERROR(IF(D13="Recto",60,IF(D13="Curvo",80,IF(D13="Rodapé separado",70,IF(OR(D13="Cadeira/Maple",D13="Banco de Bar"),60," "))))," ")</f>
        <v/>
      </c>
      <c r="J13" s="86">
        <f>IFERROR(IF(OR(H13=" ",I13=" ")," ",H13*I13)," ")</f>
        <v/>
      </c>
      <c r="K13" s="87" t="n">
        <v>75</v>
      </c>
      <c r="L13" s="39" t="n">
        <v>4</v>
      </c>
      <c r="M13" s="88">
        <f>IFERROR(IF(OR(K13="",L13="")," ",K13*L13)," ")</f>
        <v/>
      </c>
      <c r="N13" s="89">
        <f>IFERROR(IF(OR(J13=" ",K13="")," ",K13-J13)," ")</f>
        <v/>
      </c>
      <c r="O13" s="90">
        <f>IFERROR(IF(OR(N13=" ",L13="")," ",N13*L13)," ")</f>
        <v/>
      </c>
      <c r="P13" s="91">
        <f>IFERROR(IF(OR(N13=" ",J13=" ",J13=0)," ",N13/J13)," ")</f>
        <v/>
      </c>
      <c r="Q13" s="39" t="n"/>
    </row>
    <row r="14" ht="20.1" customHeight="1" s="18">
      <c r="A14" s="53" t="n">
        <v>10</v>
      </c>
      <c r="B14" s="38" t="inlineStr">
        <is>
          <t>Maple Folk Brç DRT</t>
        </is>
      </c>
      <c r="C14" s="39" t="inlineStr">
        <is>
          <t>PE14018 – 237F26</t>
        </is>
      </c>
      <c r="D14" s="39" t="inlineStr">
        <is>
          <t>Cadeira/Maple</t>
        </is>
      </c>
      <c r="E14" s="39" t="n">
        <v>0.87</v>
      </c>
      <c r="F14" s="39" t="n">
        <v>0.7</v>
      </c>
      <c r="G14" s="39" t="n">
        <v>0.75</v>
      </c>
      <c r="H14" s="92">
        <f>IFERROR(IF(E14=""," ",E14*F14*G14)," ")</f>
        <v/>
      </c>
      <c r="I14" s="93">
        <f>IFERROR(IF(D14="Recto",60,IF(D14="Curvo",80,IF(D14="Rodapé separado",70,IF(OR(D14="Cadeira/Maple",D14="Banco de Bar"),60," "))))," ")</f>
        <v/>
      </c>
      <c r="J14" s="86">
        <f>IFERROR(IF(OR(H14=" ",I14=" ")," ",H14*I14)," ")</f>
        <v/>
      </c>
      <c r="K14" s="87" t="n">
        <v>75</v>
      </c>
      <c r="L14" s="39" t="n">
        <v>4</v>
      </c>
      <c r="M14" s="88">
        <f>IFERROR(IF(OR(K14="",L14="")," ",K14*L14)," ")</f>
        <v/>
      </c>
      <c r="N14" s="94">
        <f>IFERROR(IF(OR(J14=" ",K14="")," ",K14-J14)," ")</f>
        <v/>
      </c>
      <c r="O14" s="90">
        <f>IFERROR(IF(OR(N14=" ",L14="")," ",N14*L14)," ")</f>
        <v/>
      </c>
      <c r="P14" s="95">
        <f>IFERROR(IF(OR(N14=" ",J14=" ",J14=0)," ",N14/J14)," ")</f>
        <v/>
      </c>
      <c r="Q14" s="39" t="n"/>
    </row>
    <row r="15" ht="20.1" customHeight="1" s="18">
      <c r="A15" s="37" t="n">
        <v>11</v>
      </c>
      <c r="B15" s="38" t="inlineStr">
        <is>
          <t xml:space="preserve">Sybil Canto </t>
        </is>
      </c>
      <c r="C15" s="39" t="inlineStr">
        <is>
          <t>PE14018 – 237F26</t>
        </is>
      </c>
      <c r="D15" s="39" t="inlineStr">
        <is>
          <t>Curvo</t>
        </is>
      </c>
      <c r="E15" s="39" t="n">
        <v>0.695</v>
      </c>
      <c r="F15" s="39" t="n">
        <v>0.695</v>
      </c>
      <c r="G15" s="39" t="n">
        <v>0.74</v>
      </c>
      <c r="H15" s="84">
        <f>IFERROR(IF(E15=""," ",E15*F15*G15)," ")</f>
        <v/>
      </c>
      <c r="I15" s="85">
        <f>IFERROR(IF(D15="Recto",60,IF(D15="Curvo",80,IF(D15="Rodapé separado",70,IF(OR(D15="Cadeira/Maple",D15="Banco de Bar"),60," "))))," ")</f>
        <v/>
      </c>
      <c r="J15" s="86">
        <f>IFERROR(IF(OR(H15=" ",I15=" ")," ",H15*I15)," ")</f>
        <v/>
      </c>
      <c r="K15" s="87" t="n">
        <v>80</v>
      </c>
      <c r="L15" s="39" t="n">
        <v>4</v>
      </c>
      <c r="M15" s="88">
        <f>IFERROR(IF(OR(K15="",L15="")," ",K15*L15)," ")</f>
        <v/>
      </c>
      <c r="N15" s="89">
        <f>IFERROR(IF(OR(J15=" ",K15="")," ",K15-J15)," ")</f>
        <v/>
      </c>
      <c r="O15" s="90">
        <f>IFERROR(IF(OR(N15=" ",L15="")," ",N15*L15)," ")</f>
        <v/>
      </c>
      <c r="P15" s="91">
        <f>IFERROR(IF(OR(N15=" ",J15=" ",J15=0)," ",N15/J15)," ")</f>
        <v/>
      </c>
      <c r="Q15" s="39" t="n"/>
    </row>
    <row r="16" ht="20.1" customHeight="1" s="18">
      <c r="A16" s="53" t="n">
        <v>12</v>
      </c>
      <c r="B16" s="38" t="inlineStr">
        <is>
          <t>Sybil sem Brç 652 cm</t>
        </is>
      </c>
      <c r="C16" s="39" t="inlineStr">
        <is>
          <t>PE14018 – 237F26</t>
        </is>
      </c>
      <c r="D16" s="39" t="inlineStr">
        <is>
          <t>Cadeira/Maple</t>
        </is>
      </c>
      <c r="E16" s="39" t="n">
        <v>0.652</v>
      </c>
      <c r="F16" s="39" t="n">
        <v>0.695</v>
      </c>
      <c r="G16" s="39" t="n">
        <v>0.74</v>
      </c>
      <c r="H16" s="84">
        <f>IFERROR(IF(E16=""," ",E16*F16*G16)," ")</f>
        <v/>
      </c>
      <c r="I16" s="85">
        <f>IFERROR(IF(D16="Recto",60,IF(D16="Curvo",80,IF(D16="Rodapé separado",70,IF(OR(D16="Cadeira/Maple",D16="Banco de Bar"),60," "))))," ")</f>
        <v/>
      </c>
      <c r="J16" s="86">
        <f>IFERROR(IF(OR(H16=" ",I16=" ")," ",H16*I16)," ")</f>
        <v/>
      </c>
      <c r="K16" s="87" t="n">
        <v>60</v>
      </c>
      <c r="L16" s="39" t="n">
        <v>4</v>
      </c>
      <c r="M16" s="88">
        <f>IFERROR(IF(OR(K16="",L16="")," ",K16*L16)," ")</f>
        <v/>
      </c>
      <c r="N16" s="94">
        <f>IFERROR(IF(OR(J16=" ",K16="")," ",K16-J16)," ")</f>
        <v/>
      </c>
      <c r="O16" s="90">
        <f>IFERROR(IF(OR(N16=" ",L16="")," ",N16*L16)," ")</f>
        <v/>
      </c>
      <c r="P16" s="95">
        <f>IFERROR(IF(OR(N16=" ",J16=" ",J16=0)," ",N16/J16)," ")</f>
        <v/>
      </c>
      <c r="Q16" s="39" t="n"/>
    </row>
    <row r="17" ht="20.1" customHeight="1" s="18">
      <c r="A17" s="37" t="n">
        <v>13</v>
      </c>
      <c r="B17" s="38" t="inlineStr">
        <is>
          <t>Sybil sem Brç 750cm</t>
        </is>
      </c>
      <c r="C17" s="39" t="inlineStr">
        <is>
          <t>PE14018 – 241F26</t>
        </is>
      </c>
      <c r="D17" s="39" t="inlineStr">
        <is>
          <t>Cadeira/Maple</t>
        </is>
      </c>
      <c r="E17" s="39" t="n">
        <v>0.75</v>
      </c>
      <c r="F17" s="39" t="n">
        <v>0.695</v>
      </c>
      <c r="G17" s="39" t="n">
        <v>0.74</v>
      </c>
      <c r="H17" s="84">
        <f>IFERROR(IF(E17=""," ",E17*F17*G17)," ")</f>
        <v/>
      </c>
      <c r="I17" s="85">
        <f>IFERROR(IF(D17="Recto",60,IF(D17="Curvo",80,IF(D17="Rodapé separado",70,IF(OR(D17="Cadeira/Maple",D17="Banco de Bar"),60," "))))," ")</f>
        <v/>
      </c>
      <c r="J17" s="86">
        <f>IFERROR(IF(OR(H17=" ",I17=" ")," ",H17*I17)," ")</f>
        <v/>
      </c>
      <c r="K17" s="87" t="n">
        <v>60</v>
      </c>
      <c r="L17" s="39" t="n">
        <v>24</v>
      </c>
      <c r="M17" s="88">
        <f>IFERROR(IF(OR(K17="",L17="")," ",K17*L17)," ")</f>
        <v/>
      </c>
      <c r="N17" s="89">
        <f>IFERROR(IF(OR(J17=" ",K17="")," ",K17-J17)," ")</f>
        <v/>
      </c>
      <c r="O17" s="90">
        <f>IFERROR(IF(OR(N17=" ",L17="")," ",N17*L17)," ")</f>
        <v/>
      </c>
      <c r="P17" s="91">
        <f>IFERROR(IF(OR(N17=" ",J17=" ",J17=0)," ",N17/J17)," ")</f>
        <v/>
      </c>
      <c r="Q17" s="39" t="n"/>
    </row>
    <row r="18" ht="20.1" customHeight="1" s="18">
      <c r="A18" s="53" t="n">
        <v>14</v>
      </c>
      <c r="B18" s="38" t="inlineStr">
        <is>
          <t>Sybil brç ESQ 86cm</t>
        </is>
      </c>
      <c r="C18" s="39" t="inlineStr">
        <is>
          <t>PE14018 – 252F26</t>
        </is>
      </c>
      <c r="D18" s="39" t="inlineStr">
        <is>
          <t>Cadeira/Maple</t>
        </is>
      </c>
      <c r="E18" s="39" t="n">
        <v>0.865</v>
      </c>
      <c r="F18" s="39" t="n">
        <v>0.695</v>
      </c>
      <c r="G18" s="39" t="n">
        <v>0.74</v>
      </c>
      <c r="H18" s="84">
        <f>IFERROR(IF(E18=""," ",E18*F18*G18)," ")</f>
        <v/>
      </c>
      <c r="I18" s="85">
        <f>IFERROR(IF(D18="Recto",60,IF(D18="Curvo",80,IF(D18="Rodapé separado",70,IF(OR(D18="Cadeira/Maple",D18="Banco de Bar"),60," "))))," ")</f>
        <v/>
      </c>
      <c r="J18" s="86">
        <f>IFERROR(IF(OR(H18=" ",I18=" ")," ",H18*I18)," ")</f>
        <v/>
      </c>
      <c r="K18" s="87" t="n">
        <v>75</v>
      </c>
      <c r="L18" s="39" t="n">
        <v>6</v>
      </c>
      <c r="M18" s="88">
        <f>IFERROR(IF(OR(K18="",L18="")," ",K18*L18)," ")</f>
        <v/>
      </c>
      <c r="N18" s="94">
        <f>IFERROR(IF(OR(J18=" ",K18="")," ",K18-J18)," ")</f>
        <v/>
      </c>
      <c r="O18" s="90">
        <f>IFERROR(IF(OR(N18=" ",L18="")," ",N18*L18)," ")</f>
        <v/>
      </c>
      <c r="P18" s="95">
        <f>IFERROR(IF(OR(N18=" ",J18=" ",J18=0)," ",N18/J18)," ")</f>
        <v/>
      </c>
      <c r="Q18" s="39" t="n"/>
    </row>
    <row r="19" ht="20.1" customHeight="1" s="18">
      <c r="A19" s="37" t="n">
        <v>15</v>
      </c>
      <c r="B19" s="38" t="inlineStr">
        <is>
          <t>Sybil brç DRT 86cm</t>
        </is>
      </c>
      <c r="C19" s="39" t="inlineStr">
        <is>
          <t>PE14018 – 252F26</t>
        </is>
      </c>
      <c r="D19" s="39" t="inlineStr">
        <is>
          <t>Cadeira/Maple</t>
        </is>
      </c>
      <c r="E19" s="39" t="n">
        <v>0.865</v>
      </c>
      <c r="F19" s="39" t="n">
        <v>0.695</v>
      </c>
      <c r="G19" s="39" t="n">
        <v>0.74</v>
      </c>
      <c r="H19" s="84">
        <f>IFERROR(IF(E19=""," ",E19*F19*G19)," ")</f>
        <v/>
      </c>
      <c r="I19" s="85">
        <f>IFERROR(IF(D19="Recto",60,IF(D19="Curvo",80,IF(D19="Rodapé separado",70,IF(OR(D19="Cadeira/Maple",D19="Banco de Bar"),60," "))))," ")</f>
        <v/>
      </c>
      <c r="J19" s="86">
        <f>IFERROR(IF(OR(H19=" ",I19=" ")," ",H19*I19)," ")</f>
        <v/>
      </c>
      <c r="K19" s="87" t="n">
        <v>75</v>
      </c>
      <c r="L19" s="39" t="n">
        <v>4</v>
      </c>
      <c r="M19" s="88">
        <f>IFERROR(IF(OR(K19="",L19="")," ",K19*L19)," ")</f>
        <v/>
      </c>
      <c r="N19" s="89">
        <f>IFERROR(IF(OR(J19=" ",K19="")," ",K19-J19)," ")</f>
        <v/>
      </c>
      <c r="O19" s="90">
        <f>IFERROR(IF(OR(N19=" ",L19="")," ",N19*L19)," ")</f>
        <v/>
      </c>
      <c r="P19" s="91">
        <f>IFERROR(IF(OR(N19=" ",J19=" ",J19=0)," ",N19/J19)," ")</f>
        <v/>
      </c>
      <c r="Q19" s="39" t="n"/>
    </row>
    <row r="20" ht="20.1" customHeight="1" s="18">
      <c r="A20" s="53" t="n">
        <v>16</v>
      </c>
      <c r="B20" s="38" t="inlineStr">
        <is>
          <t>Sybil brç DRT 1115cm</t>
        </is>
      </c>
      <c r="C20" s="39" t="inlineStr">
        <is>
          <t>PE14018 – 252F26</t>
        </is>
      </c>
      <c r="D20" s="39" t="inlineStr">
        <is>
          <t>Recto</t>
        </is>
      </c>
      <c r="E20" s="39" t="n">
        <v>1.115</v>
      </c>
      <c r="F20" s="39" t="n">
        <v>0.695</v>
      </c>
      <c r="G20" s="39" t="n">
        <v>0.74</v>
      </c>
      <c r="H20" s="84">
        <f>IFERROR(IF(E20=""," ",E20*F20*G20)," ")</f>
        <v/>
      </c>
      <c r="I20" s="85">
        <f>IFERROR(IF(D20="Recto",60,IF(D20="Curvo",80,IF(D20="Rodapé separado",70,IF(OR(D20="Cadeira/Maple",D20="Banco de Bar"),60," "))))," ")</f>
        <v/>
      </c>
      <c r="J20" s="86">
        <f>IFERROR(IF(OR(H20=" ",I20=" ")," ",H20*I20)," ")</f>
        <v/>
      </c>
      <c r="K20" s="87" t="n">
        <v>85</v>
      </c>
      <c r="L20" s="39" t="n">
        <v>1</v>
      </c>
      <c r="M20" s="88">
        <f>IFERROR(IF(OR(K20="",L20="")," ",K20*L20)," ")</f>
        <v/>
      </c>
      <c r="N20" s="94">
        <f>IFERROR(IF(OR(J20=" ",K20="")," ",K20-J20)," ")</f>
        <v/>
      </c>
      <c r="O20" s="90">
        <f>IFERROR(IF(OR(N20=" ",L20="")," ",N20*L20)," ")</f>
        <v/>
      </c>
      <c r="P20" s="95">
        <f>IFERROR(IF(OR(N20=" ",J20=" ",J20=0)," ",N20/J20)," ")</f>
        <v/>
      </c>
      <c r="Q20" s="39" t="n"/>
    </row>
    <row r="21" ht="20.1" customHeight="1" s="18">
      <c r="A21" s="37" t="n">
        <v>17</v>
      </c>
      <c r="B21" s="38" t="inlineStr">
        <is>
          <t>Sybil brç ESQ 1115cm</t>
        </is>
      </c>
      <c r="C21" s="39" t="inlineStr">
        <is>
          <t>PE14018 – 252F26</t>
        </is>
      </c>
      <c r="D21" s="39" t="inlineStr">
        <is>
          <t>Recto</t>
        </is>
      </c>
      <c r="E21" s="39" t="n">
        <v>1.115</v>
      </c>
      <c r="F21" s="39" t="n">
        <v>0.695</v>
      </c>
      <c r="G21" s="39" t="n">
        <v>0.74</v>
      </c>
      <c r="H21" s="84">
        <f>IFERROR(IF(E21=""," ",E21*F21*G21)," ")</f>
        <v/>
      </c>
      <c r="I21" s="85">
        <f>IFERROR(IF(D21="Recto",60,IF(D21="Curvo",80,IF(D21="Rodapé separado",70,IF(OR(D21="Cadeira/Maple",D21="Banco de Bar"),60," "))))," ")</f>
        <v/>
      </c>
      <c r="J21" s="86">
        <f>IFERROR(IF(OR(H21=" ",I21=" ")," ",H21*I21)," ")</f>
        <v/>
      </c>
      <c r="K21" s="87" t="n">
        <v>85</v>
      </c>
      <c r="L21" s="39" t="n">
        <v>1</v>
      </c>
      <c r="M21" s="88">
        <f>IFERROR(IF(OR(K21="",L21="")," ",K21*L21)," ")</f>
        <v/>
      </c>
      <c r="N21" s="89">
        <f>IFERROR(IF(OR(J21=" ",K21="")," ",K21-J21)," ")</f>
        <v/>
      </c>
      <c r="O21" s="90">
        <f>IFERROR(IF(OR(N21=" ",L21="")," ",N21*L21)," ")</f>
        <v/>
      </c>
      <c r="P21" s="91">
        <f>IFERROR(IF(OR(N21=" ",J21=" ",J21=0)," ",N21/J21)," ")</f>
        <v/>
      </c>
      <c r="Q21" s="39" t="n"/>
    </row>
    <row r="22" ht="20.1" customHeight="1" s="18">
      <c r="A22" s="53" t="n">
        <v>18</v>
      </c>
      <c r="B22" s="38" t="inlineStr">
        <is>
          <t>Sybil brç DRT 1305cm</t>
        </is>
      </c>
      <c r="C22" s="39" t="inlineStr">
        <is>
          <t>PE14018 – 252F26</t>
        </is>
      </c>
      <c r="D22" s="39" t="inlineStr">
        <is>
          <t>Recto</t>
        </is>
      </c>
      <c r="E22" s="39" t="n">
        <v>1.305</v>
      </c>
      <c r="F22" s="39" t="n">
        <v>0.695</v>
      </c>
      <c r="G22" s="39" t="n">
        <v>0.74</v>
      </c>
      <c r="H22" s="84">
        <f>IFERROR(IF(E22=""," ",E22*F22*G22)," ")</f>
        <v/>
      </c>
      <c r="I22" s="85">
        <f>IFERROR(IF(D22="Recto",60,IF(D22="Curvo",80,IF(D22="Rodapé separado",70,IF(OR(D22="Cadeira/Maple",D22="Banco de Bar"),60," "))))," ")</f>
        <v/>
      </c>
      <c r="J22" s="86">
        <f>IFERROR(IF(OR(H22=" ",I22=" ")," ",H22*I22)," ")</f>
        <v/>
      </c>
      <c r="K22" s="87" t="n">
        <v>90</v>
      </c>
      <c r="L22" s="39" t="n">
        <v>1</v>
      </c>
      <c r="M22" s="88">
        <f>IFERROR(IF(OR(K22="",L22="")," ",K22*L22)," ")</f>
        <v/>
      </c>
      <c r="N22" s="94">
        <f>IFERROR(IF(OR(J22=" ",K22="")," ",K22-J22)," ")</f>
        <v/>
      </c>
      <c r="O22" s="90">
        <f>IFERROR(IF(OR(N22=" ",L22="")," ",N22*L22)," ")</f>
        <v/>
      </c>
      <c r="P22" s="95">
        <f>IFERROR(IF(OR(N22=" ",J22=" ",J22=0)," ",N22/J22)," ")</f>
        <v/>
      </c>
      <c r="Q22" s="39" t="n"/>
    </row>
    <row r="23" ht="20.1" customHeight="1" s="18">
      <c r="A23" s="37" t="n">
        <v>19</v>
      </c>
      <c r="B23" s="38" t="inlineStr">
        <is>
          <t>Sybil brç ESQ 1305cm</t>
        </is>
      </c>
      <c r="C23" s="39" t="inlineStr">
        <is>
          <t>PE14018 – 252F26</t>
        </is>
      </c>
      <c r="D23" s="39" t="inlineStr">
        <is>
          <t>Recto</t>
        </is>
      </c>
      <c r="E23" s="39" t="n">
        <v>1.305</v>
      </c>
      <c r="F23" s="39" t="n">
        <v>0.695</v>
      </c>
      <c r="G23" s="39" t="n">
        <v>0.74</v>
      </c>
      <c r="H23" s="84">
        <f>IFERROR(IF(E23=""," ",E23*F23*G23)," ")</f>
        <v/>
      </c>
      <c r="I23" s="85">
        <f>IFERROR(IF(D23="Recto",60,IF(D23="Curvo",80,IF(D23="Rodapé separado",70,IF(OR(D23="Cadeira/Maple",D23="Banco de Bar"),60," "))))," ")</f>
        <v/>
      </c>
      <c r="J23" s="86">
        <f>IFERROR(IF(OR(H23=" ",I23=" ")," ",H23*I23)," ")</f>
        <v/>
      </c>
      <c r="K23" s="87" t="n">
        <v>90</v>
      </c>
      <c r="L23" s="39" t="n">
        <v>1</v>
      </c>
      <c r="M23" s="88">
        <f>IFERROR(IF(OR(K23="",L23="")," ",K23*L23)," ")</f>
        <v/>
      </c>
      <c r="N23" s="89">
        <f>IFERROR(IF(OR(J23=" ",K23="")," ",K23-J23)," ")</f>
        <v/>
      </c>
      <c r="O23" s="90">
        <f>IFERROR(IF(OR(N23=" ",L23="")," ",N23*L23)," ")</f>
        <v/>
      </c>
      <c r="P23" s="91">
        <f>IFERROR(IF(OR(N23=" ",J23=" ",J23=0)," ",N23/J23)," ")</f>
        <v/>
      </c>
      <c r="Q23" s="39" t="n"/>
    </row>
    <row r="24" ht="20.1" customHeight="1" s="18">
      <c r="A24" s="37" t="n">
        <v>20</v>
      </c>
      <c r="B24" s="38" t="inlineStr">
        <is>
          <t xml:space="preserve">Sybil Sofa </t>
        </is>
      </c>
      <c r="C24" s="39" t="inlineStr">
        <is>
          <t>PE14018 – 252F26</t>
        </is>
      </c>
      <c r="D24" s="39" t="inlineStr">
        <is>
          <t>Recto</t>
        </is>
      </c>
      <c r="E24" s="39" t="n">
        <v>2.03</v>
      </c>
      <c r="F24" s="39" t="n">
        <v>0.695</v>
      </c>
      <c r="G24" s="39" t="n">
        <v>0.74</v>
      </c>
      <c r="H24" s="84">
        <f>IFERROR(IF(E24=""," ",E24*F24*G24)," ")</f>
        <v/>
      </c>
      <c r="I24" s="85">
        <f>IFERROR(IF(D24="Recto",60,IF(D24="Curvo",80,IF(D24="Rodapé separado",70,IF(OR(D24="Cadeira/Maple",D24="Banco de Bar"),60," "))))," ")</f>
        <v/>
      </c>
      <c r="J24" s="86">
        <f>IFERROR(IF(OR(H24=" ",I24=" ")," ",H24*I24)," ")</f>
        <v/>
      </c>
      <c r="K24" s="87" t="n">
        <v>110</v>
      </c>
      <c r="L24" s="39" t="n">
        <v>1</v>
      </c>
      <c r="M24" s="88">
        <f>IFERROR(IF(OR(K24="",L24="")," ",K24*L24)," ")</f>
        <v/>
      </c>
      <c r="N24" s="94">
        <f>IFERROR(IF(OR(J24=" ",K24="")," ",K24-J24)," ")</f>
        <v/>
      </c>
      <c r="O24" s="90">
        <f>IFERROR(IF(OR(N24=" ",L24="")," ",N24*L24)," ")</f>
        <v/>
      </c>
      <c r="P24" s="95">
        <f>IFERROR(IF(OR(N24=" ",J24=" ",J24=0)," ",N24/J24)," ")</f>
        <v/>
      </c>
      <c r="Q24" s="39" t="n"/>
    </row>
    <row r="25" ht="20.1" customHeight="1" s="18">
      <c r="A25" s="37" t="n">
        <v>21</v>
      </c>
      <c r="B25" s="38" t="inlineStr">
        <is>
          <t>Maple Rhodes</t>
        </is>
      </c>
      <c r="C25" s="39" t="inlineStr">
        <is>
          <t>PE14018 – 252F26</t>
        </is>
      </c>
      <c r="D25" s="39" t="inlineStr">
        <is>
          <t>Cadeira/Maple</t>
        </is>
      </c>
      <c r="E25" s="39" t="n">
        <v>0.65</v>
      </c>
      <c r="F25" s="39" t="n">
        <v>0.59</v>
      </c>
      <c r="G25" s="39" t="n">
        <v>0.6</v>
      </c>
      <c r="H25" s="84">
        <f>IFERROR(IF(E25=""," ",E25*F25*G25)," ")</f>
        <v/>
      </c>
      <c r="I25" s="85">
        <f>IFERROR(IF(D25="Recto",60,IF(D25="Curvo",80,IF(D25="Rodapé separado",70,IF(OR(D25="Cadeira/Maple",D25="Banco de Bar"),60," "))))," ")</f>
        <v/>
      </c>
      <c r="J25" s="86">
        <f>IFERROR(IF(OR(H25=" ",I25=" ")," ",H25*I25)," ")</f>
        <v/>
      </c>
      <c r="K25" s="87" t="n">
        <v>65</v>
      </c>
      <c r="L25" s="39" t="n">
        <v>46</v>
      </c>
      <c r="M25" s="88">
        <f>IFERROR(IF(OR(K25="",L25="")," ",K25*L25)," ")</f>
        <v/>
      </c>
      <c r="N25" s="89">
        <f>IFERROR(IF(OR(J25=" ",K25="")," ",K25-J25)," ")</f>
        <v/>
      </c>
      <c r="O25" s="90">
        <f>IFERROR(IF(OR(N25=" ",L25="")," ",N25*L25)," ")</f>
        <v/>
      </c>
      <c r="P25" s="91">
        <f>IFERROR(IF(OR(N25=" ",J25=" ",J25=0)," ",N25/J25)," ")</f>
        <v/>
      </c>
      <c r="Q25" s="39" t="n"/>
    </row>
    <row r="26" ht="20.1" customHeight="1" s="18">
      <c r="A26" s="37" t="n">
        <v>22</v>
      </c>
      <c r="B26" s="38" t="inlineStr">
        <is>
          <t>Puff Kavos</t>
        </is>
      </c>
      <c r="C26" s="39" t="inlineStr">
        <is>
          <t>PE14018 – 240F26</t>
        </is>
      </c>
      <c r="D26" s="39" t="inlineStr">
        <is>
          <t>Recto</t>
        </is>
      </c>
      <c r="E26" s="39" t="n">
        <v>0.47</v>
      </c>
      <c r="F26" s="39" t="n">
        <v>0.15</v>
      </c>
      <c r="G26" s="39" t="n">
        <v>0.47</v>
      </c>
      <c r="H26" s="84">
        <f>IFERROR(IF(E26=""," ",E26*F26*G26)," ")</f>
        <v/>
      </c>
      <c r="I26" s="85">
        <f>IFERROR(IF(D26="Recto",60,IF(D26="Curvo",80,IF(D26="Rodapé separado",70,IF(OR(D26="Cadeira/Maple",D26="Banco de Bar"),60," "))))," ")</f>
        <v/>
      </c>
      <c r="J26" s="86">
        <f>IFERROR(IF(OR(H26=" ",I26=" ")," ",H26*I26)," ")</f>
        <v/>
      </c>
      <c r="K26" s="87" t="n">
        <v>30</v>
      </c>
      <c r="L26" s="39" t="n">
        <v>52</v>
      </c>
      <c r="M26" s="88">
        <f>IFERROR(IF(OR(K26="",L26="")," ",K26*L26)," ")</f>
        <v/>
      </c>
      <c r="N26" s="94">
        <f>IFERROR(IF(OR(J26=" ",K26="")," ",K26-J26)," ")</f>
        <v/>
      </c>
      <c r="O26" s="90">
        <f>IFERROR(IF(OR(N26=" ",L26="")," ",N26*L26)," ")</f>
        <v/>
      </c>
      <c r="P26" s="95">
        <f>IFERROR(IF(OR(N26=" ",J26=" ",J26=0)," ",N26/J26)," ")</f>
        <v/>
      </c>
      <c r="Q26" s="39" t="n"/>
    </row>
    <row r="27" ht="20.1" customHeight="1" s="18">
      <c r="A27" s="37" t="n">
        <v>23</v>
      </c>
      <c r="B27" s="38" t="inlineStr">
        <is>
          <t>Sofa Pantera 2060cm</t>
        </is>
      </c>
      <c r="C27" s="39" t="inlineStr">
        <is>
          <t>237F26</t>
        </is>
      </c>
      <c r="D27" s="39" t="inlineStr">
        <is>
          <t>Recto</t>
        </is>
      </c>
      <c r="E27" s="39" t="n">
        <v>1.981</v>
      </c>
      <c r="F27" s="39" t="n">
        <v>0.985</v>
      </c>
      <c r="G27" s="39" t="n">
        <v>0.5600000000000001</v>
      </c>
      <c r="H27" s="84">
        <f>IFERROR(IF(E27=""," ",E27*F27*G27)," ")</f>
        <v/>
      </c>
      <c r="I27" s="85">
        <f>IFERROR(IF(D27="Recto",60,IF(D27="Curvo",80,IF(D27="Rodapé separado",70,IF(OR(D27="Cadeira/Maple",D27="Banco de Bar"),60," "))))," ")</f>
        <v/>
      </c>
      <c r="J27" s="86">
        <f>IFERROR(IF(OR(H27=" ",I27=" ")," ",H27*I27)," ")</f>
        <v/>
      </c>
      <c r="K27" s="87" t="n">
        <v>144.2</v>
      </c>
      <c r="L27" s="39" t="n">
        <v>1</v>
      </c>
      <c r="M27" s="88">
        <f>IFERROR(IF(OR(K27="",L27="")," ",K27*L27)," ")</f>
        <v/>
      </c>
      <c r="N27" s="89">
        <f>IFERROR(IF(OR(J27=" ",K27="")," ",K27-J27)," ")</f>
        <v/>
      </c>
      <c r="O27" s="90">
        <f>IFERROR(IF(OR(N27=" ",L27="")," ",N27*L27)," ")</f>
        <v/>
      </c>
      <c r="P27" s="91">
        <f>IFERROR(IF(OR(N27=" ",J27=" ",J27=0)," ",N27/J27)," ")</f>
        <v/>
      </c>
      <c r="Q27" s="39" t="n"/>
    </row>
    <row r="28" ht="20.1" customHeight="1" s="18">
      <c r="A28" s="37" t="n">
        <v>24</v>
      </c>
      <c r="B28" s="38" t="inlineStr">
        <is>
          <t>Sofa Pantera 2660cm</t>
        </is>
      </c>
      <c r="C28" s="39" t="inlineStr">
        <is>
          <t>237F26</t>
        </is>
      </c>
      <c r="D28" s="39" t="inlineStr">
        <is>
          <t>Recto</t>
        </is>
      </c>
      <c r="E28" s="39" t="n">
        <v>2.66</v>
      </c>
      <c r="F28" s="39" t="n">
        <v>0.985</v>
      </c>
      <c r="G28" s="39" t="n">
        <v>0.5600000000000001</v>
      </c>
      <c r="H28" s="84">
        <f>IFERROR(IF(E28=""," ",E28*F28*G28)," ")</f>
        <v/>
      </c>
      <c r="I28" s="85">
        <f>IFERROR(IF(D28="Recto",60,IF(D28="Curvo",80,IF(D28="Rodapé separado",70,IF(OR(D28="Cadeira/Maple",D28="Banco de Bar"),60," "))))," ")</f>
        <v/>
      </c>
      <c r="J28" s="86">
        <f>IFERROR(IF(OR(H28=" ",I28=" ")," ",H28*I28)," ")</f>
        <v/>
      </c>
      <c r="K28" s="87" t="n">
        <v>186.2</v>
      </c>
      <c r="L28" s="39" t="n">
        <v>1</v>
      </c>
      <c r="M28" s="88">
        <f>IFERROR(IF(OR(K28="",L28="")," ",K28*L28)," ")</f>
        <v/>
      </c>
      <c r="N28" s="94">
        <f>IFERROR(IF(OR(J28=" ",K28="")," ",K28-J28)," ")</f>
        <v/>
      </c>
      <c r="O28" s="90">
        <f>IFERROR(IF(OR(N28=" ",L28="")," ",N28*L28)," ")</f>
        <v/>
      </c>
      <c r="P28" s="95">
        <f>IFERROR(IF(OR(N28=" ",J28=" ",J28=0)," ",N28/J28)," ")</f>
        <v/>
      </c>
      <c r="Q28" s="39" t="n"/>
    </row>
    <row r="29" ht="20.1" customHeight="1" s="18">
      <c r="A29" s="53" t="n">
        <v>25</v>
      </c>
      <c r="B29" s="38" t="inlineStr">
        <is>
          <t>Sofa Pantera 3650cm</t>
        </is>
      </c>
      <c r="C29" s="39" t="inlineStr">
        <is>
          <t>237F26</t>
        </is>
      </c>
      <c r="D29" s="39" t="inlineStr">
        <is>
          <t>Recto</t>
        </is>
      </c>
      <c r="E29" s="39" t="n">
        <v>3.65</v>
      </c>
      <c r="F29" s="39" t="n">
        <v>0.985</v>
      </c>
      <c r="G29" s="39" t="n">
        <v>0.5600000000000001</v>
      </c>
      <c r="H29" s="84">
        <f>IFERROR(IF(E29=""," ",E29*F29*G29)," ")</f>
        <v/>
      </c>
      <c r="I29" s="85">
        <f>IFERROR(IF(D29="Recto",60,IF(D29="Curvo",80,IF(D29="Rodapé separado",70,IF(OR(D29="Cadeira/Maple",D29="Banco de Bar"),60," "))))," ")</f>
        <v/>
      </c>
      <c r="J29" s="86">
        <f>IFERROR(IF(OR(H29=" ",I29=" ")," ",H29*I29)," ")</f>
        <v/>
      </c>
      <c r="K29" s="87" t="n">
        <v>255.5</v>
      </c>
      <c r="L29" s="39" t="n">
        <v>1</v>
      </c>
      <c r="M29" s="88">
        <f>IFERROR(IF(OR(K29="",L29="")," ",K29*L29)," ")</f>
        <v/>
      </c>
      <c r="N29" s="89">
        <f>IFERROR(IF(OR(J29=" ",K29="")," ",K29-J29)," ")</f>
        <v/>
      </c>
      <c r="O29" s="90">
        <f>IFERROR(IF(OR(N29=" ",L29="")," ",N29*L29)," ")</f>
        <v/>
      </c>
      <c r="P29" s="91">
        <f>IFERROR(IF(OR(N29=" ",J29=" ",J29=0)," ",N29/J29)," ")</f>
        <v/>
      </c>
      <c r="Q29" s="39" t="n"/>
    </row>
    <row r="30" ht="20.1" customHeight="1" s="18">
      <c r="A30" s="37" t="n">
        <v>26</v>
      </c>
      <c r="B30" s="38" t="inlineStr">
        <is>
          <t>Sofa Etra Em Circulo</t>
        </is>
      </c>
      <c r="C30" s="39" t="inlineStr">
        <is>
          <t>251F26</t>
        </is>
      </c>
      <c r="D30" s="39" t="inlineStr">
        <is>
          <t>Curvo</t>
        </is>
      </c>
      <c r="E30" s="39" t="n">
        <v>1.58</v>
      </c>
      <c r="F30" s="39" t="n">
        <v>0.65</v>
      </c>
      <c r="G30" s="39" t="n">
        <v>0.79</v>
      </c>
      <c r="H30" s="84">
        <f>IFERROR(IF(E30=""," ",E30*F30*G30)," ")</f>
        <v/>
      </c>
      <c r="I30" s="85">
        <f>IFERROR(IF(D30="Recto",60,IF(D30="Curvo",80,IF(D30="Rodapé separado",70,IF(OR(D30="Cadeira/Maple",D30="Banco de Bar"),60," "))))," ")</f>
        <v/>
      </c>
      <c r="J30" s="86">
        <f>IFERROR(IF(OR(H30=" ",I30=" ")," ",H30*I30)," ")</f>
        <v/>
      </c>
      <c r="K30" s="87" t="n">
        <v>130</v>
      </c>
      <c r="L30" s="39" t="n">
        <v>2</v>
      </c>
      <c r="M30" s="88">
        <f>IFERROR(IF(OR(K30="",L30="")," ",K30*L30)," ")</f>
        <v/>
      </c>
      <c r="N30" s="89">
        <f>IFERROR(IF(OR(J30=" ",K30="")," ",K30-J30)," ")</f>
        <v/>
      </c>
      <c r="O30" s="90">
        <f>IFERROR(IF(OR(N30=" ",L30="")," ",N30*L30)," ")</f>
        <v/>
      </c>
      <c r="P30" s="91">
        <f>IFERROR(IF(OR(N30=" ",J30=" ",J30=0)," ",N30/J30)," ")</f>
        <v/>
      </c>
      <c r="Q30" s="39" t="n"/>
    </row>
    <row r="31" ht="20.1" customHeight="1" s="18">
      <c r="A31" s="37" t="n">
        <v>27</v>
      </c>
      <c r="B31" s="38" t="inlineStr">
        <is>
          <t>Sofa Navagio</t>
        </is>
      </c>
      <c r="C31" s="39" t="inlineStr">
        <is>
          <t>255F26</t>
        </is>
      </c>
      <c r="D31" s="39" t="inlineStr">
        <is>
          <t>Recto</t>
        </is>
      </c>
      <c r="E31" s="39" t="n">
        <v>2.13</v>
      </c>
      <c r="F31" s="39" t="n">
        <v>0.625</v>
      </c>
      <c r="G31" s="39" t="n">
        <v>0.871</v>
      </c>
      <c r="H31" s="84">
        <f>IFERROR(IF(E31=""," ",E31*F31*G31)," ")</f>
        <v/>
      </c>
      <c r="I31" s="85">
        <f>IFERROR(IF(D31="Recto",60,IF(D31="Curvo",80,IF(D31="Rodapé separado",70,IF(OR(D31="Cadeira/Maple",D31="Banco de Bar"),60," "))))," ")</f>
        <v/>
      </c>
      <c r="J31" s="86">
        <f>IFERROR(IF(OR(H31=" ",I31=" ")," ",H31*I31)," ")</f>
        <v/>
      </c>
      <c r="K31" s="87" t="n">
        <v>127.8</v>
      </c>
      <c r="L31" s="39" t="n">
        <v>3</v>
      </c>
      <c r="M31" s="88">
        <f>IFERROR(IF(OR(K31="",L31="")," ",K31*L31)," ")</f>
        <v/>
      </c>
      <c r="N31" s="89">
        <f>IFERROR(IF(OR(J31=" ",K31="")," ",K31-J31)," ")</f>
        <v/>
      </c>
      <c r="O31" s="90">
        <f>IFERROR(IF(OR(N31=" ",L31="")," ",N31*L31)," ")</f>
        <v/>
      </c>
      <c r="P31" s="91">
        <f>IFERROR(IF(OR(N31=" ",J31=" ",J31=0)," ",N31/J31)," ")</f>
        <v/>
      </c>
      <c r="Q31" s="39" t="n"/>
    </row>
    <row r="32" ht="20.1" customHeight="1" s="18">
      <c r="A32" s="37" t="n">
        <v>28</v>
      </c>
      <c r="B32" s="38" t="inlineStr">
        <is>
          <t>Maple Sutton</t>
        </is>
      </c>
      <c r="C32" s="39" t="inlineStr">
        <is>
          <t>238F26</t>
        </is>
      </c>
      <c r="D32" s="39" t="inlineStr">
        <is>
          <t>Cadeira/Maple</t>
        </is>
      </c>
      <c r="E32" s="39" t="n">
        <v>0.7</v>
      </c>
      <c r="F32" s="39" t="n">
        <v>0.6840000000000001</v>
      </c>
      <c r="G32" s="39" t="n">
        <v>0.75</v>
      </c>
      <c r="H32" s="84">
        <f>IFERROR(IF(E32=""," ",E32*F32*G32)," ")</f>
        <v/>
      </c>
      <c r="I32" s="85">
        <f>IFERROR(IF(D32="Recto",60,IF(D32="Curvo",80,IF(D32="Rodapé separado",70,IF(OR(D32="Cadeira/Maple",D32="Banco de Bar"),60," "))))," ")</f>
        <v/>
      </c>
      <c r="J32" s="86">
        <f>IFERROR(IF(OR(H32=" ",I32=" ")," ",H32*I32)," ")</f>
        <v/>
      </c>
      <c r="K32" s="87" t="n">
        <v>95</v>
      </c>
      <c r="L32" s="39" t="n">
        <v>8</v>
      </c>
      <c r="M32" s="88">
        <f>IFERROR(IF(OR(K32="",L32="")," ",K32*L32)," ")</f>
        <v/>
      </c>
      <c r="N32" s="89">
        <f>IFERROR(IF(OR(J32=" ",K32="")," ",K32-J32)," ")</f>
        <v/>
      </c>
      <c r="O32" s="90">
        <f>IFERROR(IF(OR(N32=" ",L32="")," ",N32*L32)," ")</f>
        <v/>
      </c>
      <c r="P32" s="91">
        <f>IFERROR(IF(OR(N32=" ",J32=" ",J32=0)," ",N32/J32)," ")</f>
        <v/>
      </c>
      <c r="Q32" s="39" t="n"/>
    </row>
    <row r="33" ht="20.1" customHeight="1" s="18">
      <c r="A33" s="37" t="n">
        <v>29</v>
      </c>
      <c r="B33" s="38" t="inlineStr">
        <is>
          <t xml:space="preserve">Sofa Apple </t>
        </is>
      </c>
      <c r="C33" s="39" t="inlineStr">
        <is>
          <t>238F26</t>
        </is>
      </c>
      <c r="D33" s="39" t="inlineStr">
        <is>
          <t>Recto</t>
        </is>
      </c>
      <c r="E33" s="39" t="n">
        <v>1.734</v>
      </c>
      <c r="F33" s="39" t="n">
        <v>0.618</v>
      </c>
      <c r="G33" s="39" t="n">
        <v>0.881</v>
      </c>
      <c r="H33" s="84">
        <f>IFERROR(IF(E33=""," ",E33*F33*G33)," ")</f>
        <v/>
      </c>
      <c r="I33" s="85">
        <f>IFERROR(IF(D33="Recto",60,IF(D33="Curvo",80,IF(D33="Rodapé separado",70,IF(OR(D33="Cadeira/Maple",D33="Banco de Bar"),60," "))))," ")</f>
        <v/>
      </c>
      <c r="J33" s="86">
        <f>IFERROR(IF(OR(H33=" ",I33=" ")," ",H33*I33)," ")</f>
        <v/>
      </c>
      <c r="K33" s="87" t="n">
        <v>90</v>
      </c>
      <c r="L33" s="39" t="n">
        <v>3</v>
      </c>
      <c r="M33" s="88">
        <f>IFERROR(IF(OR(K33="",L33="")," ",K33*L33)," ")</f>
        <v/>
      </c>
      <c r="N33" s="89">
        <f>IFERROR(IF(OR(J33=" ",K33="")," ",K33-J33)," ")</f>
        <v/>
      </c>
      <c r="O33" s="90">
        <f>IFERROR(IF(OR(N33=" ",L33="")," ",N33*L33)," ")</f>
        <v/>
      </c>
      <c r="P33" s="91">
        <f>IFERROR(IF(OR(N33=" ",J33=" ",J33=0)," ",N33/J33)," ")</f>
        <v/>
      </c>
      <c r="Q33" s="39" t="n"/>
    </row>
    <row r="34" ht="20.1" customHeight="1" s="18">
      <c r="A34" s="37" t="n">
        <v>30</v>
      </c>
      <c r="B34" s="38" t="inlineStr">
        <is>
          <t>Maple Blosson</t>
        </is>
      </c>
      <c r="C34" s="39" t="inlineStr">
        <is>
          <t>181F26</t>
        </is>
      </c>
      <c r="D34" s="39" t="inlineStr">
        <is>
          <t>Cadeira/Maple</t>
        </is>
      </c>
      <c r="E34" s="39" t="n">
        <v>0.78</v>
      </c>
      <c r="F34" s="39" t="n">
        <v>0.64</v>
      </c>
      <c r="G34" s="39" t="n">
        <v>0.74</v>
      </c>
      <c r="H34" s="84">
        <f>IFERROR(IF(E34=""," ",E34*F34*G34)," ")</f>
        <v/>
      </c>
      <c r="I34" s="85">
        <f>IFERROR(IF(D34="Recto",60,IF(D34="Curvo",80,IF(D34="Rodapé separado",70,IF(OR(D34="Cadeira/Maple",D34="Banco de Bar"),60," "))))," ")</f>
        <v/>
      </c>
      <c r="J34" s="86">
        <f>IFERROR(IF(OR(H34=" ",I34=" ")," ",H34*I34)," ")</f>
        <v/>
      </c>
      <c r="K34" s="87" t="n">
        <v>85</v>
      </c>
      <c r="L34" s="39" t="n">
        <v>1</v>
      </c>
      <c r="M34" s="88">
        <f>IFERROR(IF(OR(K34="",L34="")," ",K34*L34)," ")</f>
        <v/>
      </c>
      <c r="N34" s="89">
        <f>IFERROR(IF(OR(J34=" ",K34="")," ",K34-J34)," ")</f>
        <v/>
      </c>
      <c r="O34" s="90">
        <f>IFERROR(IF(OR(N34=" ",L34="")," ",N34*L34)," ")</f>
        <v/>
      </c>
      <c r="P34" s="91">
        <f>IFERROR(IF(OR(N34=" ",J34=" ",J34=0)," ",N34/J34)," ")</f>
        <v/>
      </c>
      <c r="Q34" s="39" t="n"/>
    </row>
    <row r="35" ht="20.1" customHeight="1" s="18">
      <c r="A35" s="37" t="n">
        <v>31</v>
      </c>
      <c r="B35" s="38" t="inlineStr">
        <is>
          <t>ingles Maple Hl</t>
        </is>
      </c>
      <c r="C35" s="39" t="inlineStr">
        <is>
          <t>181F26</t>
        </is>
      </c>
      <c r="D35" s="39" t="inlineStr">
        <is>
          <t>Cadeira/Maple</t>
        </is>
      </c>
      <c r="E35" s="39" t="n">
        <v>0.6</v>
      </c>
      <c r="F35" s="39" t="n">
        <v>1.17</v>
      </c>
      <c r="G35" s="39" t="n">
        <v>0.85</v>
      </c>
      <c r="H35" s="84">
        <f>IFERROR(IF(E35=""," ",E35*F35*G35)," ")</f>
        <v/>
      </c>
      <c r="I35" s="85">
        <f>IFERROR(IF(D35="Recto",60,IF(D35="Curvo",80,IF(D35="Rodapé separado",70,IF(OR(D35="Cadeira/Maple",D35="Banco de Bar"),60," "))))," ")</f>
        <v/>
      </c>
      <c r="J35" s="86">
        <f>IFERROR(IF(OR(H35=" ",I35=" ")," ",H35*I35)," ")</f>
        <v/>
      </c>
      <c r="K35" s="87" t="n">
        <v>62.9</v>
      </c>
      <c r="L35" s="39" t="n">
        <v>1</v>
      </c>
      <c r="M35" s="88">
        <f>IFERROR(IF(OR(K35="",L35="")," ",K35*L35)," ")</f>
        <v/>
      </c>
      <c r="N35" s="89">
        <f>IFERROR(IF(OR(J35=" ",K35="")," ",K35-J35)," ")</f>
        <v/>
      </c>
      <c r="O35" s="90">
        <f>IFERROR(IF(OR(N35=" ",L35="")," ",N35*L35)," ")</f>
        <v/>
      </c>
      <c r="P35" s="91">
        <f>IFERROR(IF(OR(N35=" ",J35=" ",J35=0)," ",N35/J35)," ")</f>
        <v/>
      </c>
      <c r="Q35" s="39" t="n"/>
    </row>
    <row r="36" ht="20.1" customHeight="1" s="18">
      <c r="A36" s="37" t="n">
        <v>32</v>
      </c>
      <c r="B36" s="38" t="inlineStr">
        <is>
          <t>Maple Guida</t>
        </is>
      </c>
      <c r="C36" s="39" t="inlineStr">
        <is>
          <t>190F26</t>
        </is>
      </c>
      <c r="D36" s="39" t="inlineStr">
        <is>
          <t>Cadeira/Maple</t>
        </is>
      </c>
      <c r="E36" s="39" t="n">
        <v>0.6899999999999999</v>
      </c>
      <c r="F36" s="39" t="n">
        <v>1.05</v>
      </c>
      <c r="G36" s="39" t="n">
        <v>0.7</v>
      </c>
      <c r="H36" s="84">
        <f>IFERROR(IF(E36=""," ",E36*F36*G36)," ")</f>
        <v/>
      </c>
      <c r="I36" s="85">
        <f>IFERROR(IF(D36="Recto",60,IF(D36="Curvo",80,IF(D36="Rodapé separado",70,IF(OR(D36="Cadeira/Maple",D36="Banco de Bar"),60," "))))," ")</f>
        <v/>
      </c>
      <c r="J36" s="86">
        <f>IFERROR(IF(OR(H36=" ",I36=" ")," ",H36*I36)," ")</f>
        <v/>
      </c>
      <c r="K36" s="87" t="n">
        <v>71</v>
      </c>
      <c r="L36" s="39" t="n">
        <v>50</v>
      </c>
      <c r="M36" s="88">
        <f>IFERROR(IF(OR(K36="",L36="")," ",K36*L36)," ")</f>
        <v/>
      </c>
      <c r="N36" s="89">
        <f>IFERROR(IF(OR(J36=" ",K36="")," ",K36-J36)," ")</f>
        <v/>
      </c>
      <c r="O36" s="90">
        <f>IFERROR(IF(OR(N36=" ",L36="")," ",N36*L36)," ")</f>
        <v/>
      </c>
      <c r="P36" s="91">
        <f>IFERROR(IF(OR(N36=" ",J36=" ",J36=0)," ",N36/J36)," ")</f>
        <v/>
      </c>
      <c r="Q36" s="39" t="n"/>
    </row>
    <row r="37" ht="20.1" customHeight="1" s="18">
      <c r="A37" s="37" t="n">
        <v>33</v>
      </c>
      <c r="B37" s="38" t="inlineStr">
        <is>
          <t xml:space="preserve">Cadeirão Seven </t>
        </is>
      </c>
      <c r="C37" s="39" t="inlineStr">
        <is>
          <t>197F26</t>
        </is>
      </c>
      <c r="D37" s="39" t="inlineStr">
        <is>
          <t>Cadeira/Maple</t>
        </is>
      </c>
      <c r="E37" s="39" t="n">
        <v>0.8149999999999999</v>
      </c>
      <c r="F37" s="39" t="n">
        <v>0.799</v>
      </c>
      <c r="G37" s="39" t="n">
        <v>0.742</v>
      </c>
      <c r="H37" s="84">
        <f>IFERROR(IF(E37=""," ",E37*F37*G37)," ")</f>
        <v/>
      </c>
      <c r="I37" s="85">
        <f>IFERROR(IF(D37="Recto",60,IF(D37="Curvo",80,IF(D37="Rodapé separado",70,IF(OR(D37="Cadeira/Maple",D37="Banco de Bar"),60," "))))," ")</f>
        <v/>
      </c>
      <c r="J37" s="86">
        <f>IFERROR(IF(OR(H37=" ",I37=" ")," ",H37*I37)," ")</f>
        <v/>
      </c>
      <c r="K37" s="87" t="n">
        <v>58.08</v>
      </c>
      <c r="L37" s="39" t="n">
        <v>22</v>
      </c>
      <c r="M37" s="88">
        <f>IFERROR(IF(OR(K37="",L37="")," ",K37*L37)," ")</f>
        <v/>
      </c>
      <c r="N37" s="89">
        <f>IFERROR(IF(OR(J37=" ",K37="")," ",K37-J37)," ")</f>
        <v/>
      </c>
      <c r="O37" s="90">
        <f>IFERROR(IF(OR(N37=" ",L37="")," ",N37*L37)," ")</f>
        <v/>
      </c>
      <c r="P37" s="91">
        <f>IFERROR(IF(OR(N37=" ",J37=" ",J37=0)," ",N37/J37)," ")</f>
        <v/>
      </c>
      <c r="Q37" s="39" t="n"/>
    </row>
    <row r="38" ht="20.1" customHeight="1" s="18">
      <c r="A38" s="37" t="n">
        <v>34</v>
      </c>
      <c r="B38" s="38" t="inlineStr">
        <is>
          <t>Puff Jambé</t>
        </is>
      </c>
      <c r="C38" s="39" t="inlineStr">
        <is>
          <t>197F26</t>
        </is>
      </c>
      <c r="D38" s="39" t="inlineStr">
        <is>
          <t>Cadeira/Maple</t>
        </is>
      </c>
      <c r="E38" s="39" t="n">
        <v>0.42</v>
      </c>
      <c r="F38" s="39" t="n">
        <v>0.375</v>
      </c>
      <c r="G38" s="39" t="n">
        <v>0.42</v>
      </c>
      <c r="H38" s="84">
        <f>IFERROR(IF(E38=""," ",E38*F38*G38)," ")</f>
        <v/>
      </c>
      <c r="I38" s="85">
        <f>IFERROR(IF(D38="Recto",60,IF(D38="Curvo",80,IF(D38="Rodapé separado",70,IF(OR(D38="Cadeira/Maple",D38="Banco de Bar"),60," "))))," ")</f>
        <v/>
      </c>
      <c r="J38" s="86">
        <f>IFERROR(IF(OR(H38=" ",I38=" ")," ",H38*I38)," ")</f>
        <v/>
      </c>
      <c r="K38" s="87" t="n">
        <v>35</v>
      </c>
      <c r="L38" s="39" t="n">
        <v>50</v>
      </c>
      <c r="M38" s="88">
        <f>IFERROR(IF(OR(K38="",L38="")," ",K38*L38)," ")</f>
        <v/>
      </c>
      <c r="N38" s="89">
        <f>IFERROR(IF(OR(J38=" ",K38="")," ",K38-J38)," ")</f>
        <v/>
      </c>
      <c r="O38" s="90">
        <f>IFERROR(IF(OR(N38=" ",L38="")," ",N38*L38)," ")</f>
        <v/>
      </c>
      <c r="P38" s="91">
        <f>IFERROR(IF(OR(N38=" ",J38=" ",J38=0)," ",N38/J38)," ")</f>
        <v/>
      </c>
      <c r="Q38" s="39" t="n"/>
    </row>
    <row r="39" ht="20.1" customHeight="1" s="18">
      <c r="A39" s="37" t="n">
        <v>35</v>
      </c>
      <c r="B39" s="38" t="inlineStr">
        <is>
          <t>Sofá  Sharon AG6</t>
        </is>
      </c>
      <c r="C39" s="39" t="inlineStr">
        <is>
          <t>200F26</t>
        </is>
      </c>
      <c r="D39" s="39" t="inlineStr">
        <is>
          <t>Recto</t>
        </is>
      </c>
      <c r="E39" s="39" t="n">
        <v>2.257</v>
      </c>
      <c r="F39" s="39" t="n">
        <v>0.85</v>
      </c>
      <c r="G39" s="39" t="n">
        <v>0.745</v>
      </c>
      <c r="H39" s="84">
        <f>IFERROR(IF(E39=""," ",E39*F39*G39)," ")</f>
        <v/>
      </c>
      <c r="I39" s="85">
        <f>IFERROR(IF(D39="Recto",60,IF(D39="Curvo",80,IF(D39="Rodapé separado",70,IF(OR(D39="Cadeira/Maple",D39="Banco de Bar"),60," "))))," ")</f>
        <v/>
      </c>
      <c r="J39" s="86">
        <f>IFERROR(IF(OR(H39=" ",I39=" ")," ",H39*I39)," ")</f>
        <v/>
      </c>
      <c r="K39" s="87" t="n">
        <v>135.33</v>
      </c>
      <c r="L39" s="39" t="n">
        <v>3</v>
      </c>
      <c r="M39" s="88">
        <f>IFERROR(IF(OR(K39="",L39="")," ",K39*L39)," ")</f>
        <v/>
      </c>
      <c r="N39" s="89">
        <f>IFERROR(IF(OR(J39=" ",K39="")," ",K39-J39)," ")</f>
        <v/>
      </c>
      <c r="O39" s="90">
        <f>IFERROR(IF(OR(N39=" ",L39="")," ",N39*L39)," ")</f>
        <v/>
      </c>
      <c r="P39" s="91">
        <f>IFERROR(IF(OR(N39=" ",J39=" ",J39=0)," ",N39/J39)," ")</f>
        <v/>
      </c>
      <c r="Q39" s="39" t="n"/>
    </row>
    <row r="40" ht="20.1" customHeight="1" s="18">
      <c r="A40" s="37" t="n">
        <v>36</v>
      </c>
      <c r="B40" s="38" t="inlineStr">
        <is>
          <t>Sofa Sharon AG5 (1)</t>
        </is>
      </c>
      <c r="C40" s="39" t="inlineStr">
        <is>
          <t>200F26</t>
        </is>
      </c>
      <c r="D40" s="39" t="inlineStr">
        <is>
          <t>Curvo</t>
        </is>
      </c>
      <c r="E40" s="39" t="n">
        <v>2.92</v>
      </c>
      <c r="F40" s="39" t="n">
        <v>0.99</v>
      </c>
      <c r="G40" s="39" t="n">
        <v>0.765</v>
      </c>
      <c r="H40" s="84">
        <f>IFERROR(IF(E40=""," ",E40*F40*G40)," ")</f>
        <v/>
      </c>
      <c r="I40" s="85">
        <f>IFERROR(IF(D40="Recto",60,IF(D40="Curvo",80,IF(D40="Rodapé separado",70,IF(OR(D40="Cadeira/Maple",D40="Banco de Bar"),60," "))))," ")</f>
        <v/>
      </c>
      <c r="J40" s="86">
        <f>IFERROR(IF(OR(H40=" ",I40=" ")," ",H40*I40)," ")</f>
        <v/>
      </c>
      <c r="K40" s="87" t="n">
        <v>205</v>
      </c>
      <c r="L40" s="39" t="n">
        <v>1</v>
      </c>
      <c r="M40" s="88">
        <f>IFERROR(IF(OR(K40="",L40="")," ",K40*L40)," ")</f>
        <v/>
      </c>
      <c r="N40" s="89">
        <f>IFERROR(IF(OR(J40=" ",K40="")," ",K40-J40)," ")</f>
        <v/>
      </c>
      <c r="O40" s="90">
        <f>IFERROR(IF(OR(N40=" ",L40="")," ",N40*L40)," ")</f>
        <v/>
      </c>
      <c r="P40" s="91">
        <f>IFERROR(IF(OR(N40=" ",J40=" ",J40=0)," ",N40/J40)," ")</f>
        <v/>
      </c>
      <c r="Q40" s="39" t="n"/>
    </row>
    <row r="41" ht="20.1" customHeight="1" s="18">
      <c r="A41" s="37" t="n">
        <v>37</v>
      </c>
      <c r="B41" s="38" t="inlineStr">
        <is>
          <t>Sofa Lagoa 3Lug</t>
        </is>
      </c>
      <c r="C41" s="39" t="inlineStr">
        <is>
          <t>200F26</t>
        </is>
      </c>
      <c r="D41" s="39" t="inlineStr">
        <is>
          <t>Recto</t>
        </is>
      </c>
      <c r="E41" s="39" t="n">
        <v>1.836</v>
      </c>
      <c r="F41" s="39" t="n">
        <v>0.64</v>
      </c>
      <c r="G41" s="39" t="n">
        <v>0.945</v>
      </c>
      <c r="H41" s="84">
        <f>IFERROR(IF(E41=""," ",E41*F41*G41)," ")</f>
        <v/>
      </c>
      <c r="I41" s="85">
        <f>IFERROR(IF(D41="Recto",60,IF(D41="Curvo",80,IF(D41="Rodapé separado",70,IF(OR(D41="Cadeira/Maple",D41="Banco de Bar"),60," "))))," ")</f>
        <v/>
      </c>
      <c r="J41" s="86">
        <f>IFERROR(IF(OR(H41=" ",I41=" ")," ",H41*I41)," ")</f>
        <v/>
      </c>
      <c r="K41" s="87" t="n">
        <v>75</v>
      </c>
      <c r="L41" s="39" t="n">
        <v>1</v>
      </c>
      <c r="M41" s="88">
        <f>IFERROR(IF(OR(K41="",L41="")," ",K41*L41)," ")</f>
        <v/>
      </c>
      <c r="N41" s="89">
        <f>IFERROR(IF(OR(J41=" ",K41="")," ",K41-J41)," ")</f>
        <v/>
      </c>
      <c r="O41" s="90">
        <f>IFERROR(IF(OR(N41=" ",L41="")," ",N41*L41)," ")</f>
        <v/>
      </c>
      <c r="P41" s="91">
        <f>IFERROR(IF(OR(N41=" ",J41=" ",J41=0)," ",N41/J41)," ")</f>
        <v/>
      </c>
      <c r="Q41" s="39" t="n"/>
    </row>
    <row r="42" ht="20.1" customHeight="1" s="18">
      <c r="A42" s="37" t="n">
        <v>38</v>
      </c>
      <c r="B42" s="38" t="inlineStr">
        <is>
          <t>Ada 1800 (cabeceira)</t>
        </is>
      </c>
      <c r="C42" s="39" t="inlineStr">
        <is>
          <t>200F26</t>
        </is>
      </c>
      <c r="D42" s="39" t="inlineStr">
        <is>
          <t>Recto</t>
        </is>
      </c>
      <c r="E42" s="39" t="n">
        <v>1.18</v>
      </c>
      <c r="F42" s="39" t="n">
        <v>1.19</v>
      </c>
      <c r="G42" s="39" t="n">
        <v>0.07000000000000001</v>
      </c>
      <c r="H42" s="84">
        <f>IFERROR(IF(E42=""," ",E42*F42*G42)," ")</f>
        <v/>
      </c>
      <c r="I42" s="85">
        <f>IFERROR(IF(D42="Recto",60,IF(D42="Curvo",80,IF(D42="Rodapé separado",70,IF(OR(D42="Cadeira/Maple",D42="Banco de Bar"),60," "))))," ")</f>
        <v/>
      </c>
      <c r="J42" s="86">
        <f>IFERROR(IF(OR(H42=" ",I42=" ")," ",H42*I42)," ")</f>
        <v/>
      </c>
      <c r="K42" s="87" t="n">
        <v>115</v>
      </c>
      <c r="L42" s="39" t="n">
        <v>1</v>
      </c>
      <c r="M42" s="88">
        <f>IFERROR(IF(OR(K42="",L42="")," ",K42*L42)," ")</f>
        <v/>
      </c>
      <c r="N42" s="89">
        <f>IFERROR(IF(OR(J42=" ",K42="")," ",K42-J42)," ")</f>
        <v/>
      </c>
      <c r="O42" s="90">
        <f>IFERROR(IF(OR(N42=" ",L42="")," ",N42*L42)," ")</f>
        <v/>
      </c>
      <c r="P42" s="91">
        <f>IFERROR(IF(OR(N42=" ",J42=" ",J42=0)," ",N42/J42)," ")</f>
        <v/>
      </c>
      <c r="Q42" s="39" t="n"/>
    </row>
    <row r="43" ht="20.1" customHeight="1" s="18">
      <c r="A43" s="37" t="n">
        <v>39</v>
      </c>
      <c r="B43" s="38" t="inlineStr">
        <is>
          <t xml:space="preserve">Dalia Maple </t>
        </is>
      </c>
      <c r="C43" s="39" t="inlineStr">
        <is>
          <t>200F26</t>
        </is>
      </c>
      <c r="D43" s="39" t="inlineStr">
        <is>
          <t>Cadeira/Maple</t>
        </is>
      </c>
      <c r="E43" s="39" t="n">
        <v>0.832</v>
      </c>
      <c r="F43" s="39" t="n">
        <v>1.12</v>
      </c>
      <c r="G43" s="39" t="n">
        <v>0.77</v>
      </c>
      <c r="H43" s="84">
        <f>IFERROR(IF(E43=""," ",E43*F43*G43)," ")</f>
        <v/>
      </c>
      <c r="I43" s="85">
        <f>IFERROR(IF(D43="Recto",60,IF(D43="Curvo",80,IF(D43="Rodapé separado",70,IF(OR(D43="Cadeira/Maple",D43="Banco de Bar"),60," "))))," ")</f>
        <v/>
      </c>
      <c r="J43" s="86">
        <f>IFERROR(IF(OR(H43=" ",I43=" ")," ",H43*I43)," ")</f>
        <v/>
      </c>
      <c r="K43" s="87" t="n">
        <v>81</v>
      </c>
      <c r="L43" s="39" t="n">
        <v>1</v>
      </c>
      <c r="M43" s="88">
        <f>IFERROR(IF(OR(K43="",L43="")," ",K43*L43)," ")</f>
        <v/>
      </c>
      <c r="N43" s="89">
        <f>IFERROR(IF(OR(J43=" ",K43="")," ",K43-J43)," ")</f>
        <v/>
      </c>
      <c r="O43" s="90">
        <f>IFERROR(IF(OR(N43=" ",L43="")," ",N43*L43)," ")</f>
        <v/>
      </c>
      <c r="P43" s="91">
        <f>IFERROR(IF(OR(N43=" ",J43=" ",J43=0)," ",N43/J43)," ")</f>
        <v/>
      </c>
      <c r="Q43" s="39" t="n"/>
    </row>
    <row r="44" ht="20.1" customHeight="1" s="18">
      <c r="A44" s="37" t="n">
        <v>40</v>
      </c>
      <c r="B44" s="38" t="inlineStr">
        <is>
          <t>Sharon AG5 (2)</t>
        </is>
      </c>
      <c r="C44" s="39" t="inlineStr">
        <is>
          <t>201F26</t>
        </is>
      </c>
      <c r="D44" s="39" t="inlineStr">
        <is>
          <t>Curvo</t>
        </is>
      </c>
      <c r="E44" s="39" t="n">
        <v>3.231</v>
      </c>
      <c r="F44" s="39" t="n">
        <v>0.99</v>
      </c>
      <c r="G44" s="39" t="n">
        <v>0.765</v>
      </c>
      <c r="H44" s="84">
        <f>IFERROR(IF(E44=""," ",E44*F44*G44)," ")</f>
        <v/>
      </c>
      <c r="I44" s="85">
        <f>IFERROR(IF(D44="Recto",60,IF(D44="Curvo",80,IF(D44="Rodapé separado",70,IF(OR(D44="Cadeira/Maple",D44="Banco de Bar"),60," "))))," ")</f>
        <v/>
      </c>
      <c r="J44" s="86">
        <f>IFERROR(IF(OR(H44=" ",I44=" ")," ",H44*I44)," ")</f>
        <v/>
      </c>
      <c r="K44" s="87" t="n">
        <v>226</v>
      </c>
      <c r="L44" s="39" t="n">
        <v>1</v>
      </c>
      <c r="M44" s="88">
        <f>IFERROR(IF(OR(K44="",L44="")," ",K44*L44)," ")</f>
        <v/>
      </c>
      <c r="N44" s="89">
        <f>IFERROR(IF(OR(J44=" ",K44="")," ",K44-J44)," ")</f>
        <v/>
      </c>
      <c r="O44" s="90">
        <f>IFERROR(IF(OR(N44=" ",L44="")," ",N44*L44)," ")</f>
        <v/>
      </c>
      <c r="P44" s="91">
        <f>IFERROR(IF(OR(N44=" ",J44=" ",J44=0)," ",N44/J44)," ")</f>
        <v/>
      </c>
      <c r="Q44" s="39" t="n"/>
    </row>
    <row r="45" ht="20.1" customHeight="1" s="18">
      <c r="A45" s="11" t="n">
        <v>41</v>
      </c>
      <c r="B45" s="12" t="inlineStr">
        <is>
          <t>Murray Puff</t>
        </is>
      </c>
      <c r="C45" s="15" t="inlineStr">
        <is>
          <t>201F26</t>
        </is>
      </c>
      <c r="D45" s="39" t="inlineStr">
        <is>
          <t>Recto</t>
        </is>
      </c>
      <c r="E45" s="15" t="n">
        <v>0.604</v>
      </c>
      <c r="F45" s="15" t="n">
        <v>0.432</v>
      </c>
      <c r="G45" s="15" t="n">
        <v>0.644</v>
      </c>
      <c r="H45" s="84">
        <f>IFERROR(IF(E45=""," ",E45*F45*G45)," ")</f>
        <v/>
      </c>
      <c r="I45" s="85">
        <f>IFERROR(IF(D45="Recto",60,IF(D45="Curvo",80,IF(D45="Rodapé separado",70,IF(OR(D45="Cadeira/Maple",D45="Banco de Bar"),60," "))))," ")</f>
        <v/>
      </c>
      <c r="J45" s="86">
        <f>IFERROR(IF(OR(H45=" ",I45=" ")," ",H45*I45)," ")</f>
        <v/>
      </c>
      <c r="K45" s="13" t="n">
        <v>55</v>
      </c>
      <c r="L45" s="12" t="n">
        <v>34</v>
      </c>
      <c r="M45" s="88">
        <f>IFERROR(IF(OR(K45="",L45="")," ",K45*L45)," ")</f>
        <v/>
      </c>
      <c r="N45" s="89">
        <f>IFERROR(IF(OR(J45=" ",K45="")," ",K45-J45)," ")</f>
        <v/>
      </c>
      <c r="O45" s="90">
        <f>IFERROR(IF(OR(N45=" ",L45="")," ",N45*L45)," ")</f>
        <v/>
      </c>
      <c r="P45" s="91">
        <f>IFERROR(IF(OR(N45=" ",J45=" ",J45=0)," ",N45/J45)," ")</f>
        <v/>
      </c>
      <c r="Q45" s="14" t="n"/>
    </row>
    <row r="46" ht="20.1" customHeight="1" s="18">
      <c r="A46" s="11" t="n">
        <v>42</v>
      </c>
      <c r="B46" s="12" t="inlineStr">
        <is>
          <t>Sofa Clock 2Lug</t>
        </is>
      </c>
      <c r="C46" s="15" t="inlineStr">
        <is>
          <t>201F26</t>
        </is>
      </c>
      <c r="D46" s="39" t="inlineStr">
        <is>
          <t>Recto</t>
        </is>
      </c>
      <c r="E46" s="15" t="n">
        <v>1.401</v>
      </c>
      <c r="F46" s="15" t="n">
        <v>0.847</v>
      </c>
      <c r="G46" s="15" t="n">
        <v>0.9</v>
      </c>
      <c r="H46" s="84">
        <f>IFERROR(IF(E46=""," ",E46*F46*G46)," ")</f>
        <v/>
      </c>
      <c r="I46" s="85">
        <f>IFERROR(IF(D46="Recto",60,IF(D46="Curvo",80,IF(D46="Rodapé separado",70,IF(OR(D46="Cadeira/Maple",D46="Banco de Bar"),60," "))))," ")</f>
        <v/>
      </c>
      <c r="J46" s="86">
        <f>IFERROR(IF(OR(H46=" ",I46=" ")," ",H46*I46)," ")</f>
        <v/>
      </c>
      <c r="K46" s="13" t="n">
        <v>84.7</v>
      </c>
      <c r="L46" s="12" t="n">
        <v>2</v>
      </c>
      <c r="M46" s="88">
        <f>IFERROR(IF(OR(K46="",L46="")," ",K46*L46)," ")</f>
        <v/>
      </c>
      <c r="N46" s="89">
        <f>IFERROR(IF(OR(J46=" ",K46="")," ",K46-J46)," ")</f>
        <v/>
      </c>
      <c r="O46" s="90">
        <f>IFERROR(IF(OR(N46=" ",L46="")," ",N46*L46)," ")</f>
        <v/>
      </c>
      <c r="P46" s="91">
        <f>IFERROR(IF(OR(N46=" ",J46=" ",J46=0)," ",N46/J46)," ")</f>
        <v/>
      </c>
      <c r="Q46" s="14" t="n"/>
    </row>
    <row r="47" ht="20.1" customHeight="1" s="18">
      <c r="A47" s="11" t="n">
        <v>43</v>
      </c>
      <c r="B47" s="12" t="inlineStr">
        <is>
          <t>Sofa Lecce 2Lug</t>
        </is>
      </c>
      <c r="C47" s="15" t="inlineStr">
        <is>
          <t>201F26</t>
        </is>
      </c>
      <c r="D47" s="39" t="inlineStr">
        <is>
          <t>Recto</t>
        </is>
      </c>
      <c r="E47" s="15" t="n">
        <v>1.78</v>
      </c>
      <c r="F47" s="15" t="n">
        <v>0.63</v>
      </c>
      <c r="G47" s="15" t="n">
        <v>0.88</v>
      </c>
      <c r="H47" s="84">
        <f>IFERROR(IF(E47=""," ",E47*F47*G47)," ")</f>
        <v/>
      </c>
      <c r="I47" s="85">
        <f>IFERROR(IF(D47="Recto",60,IF(D47="Curvo",80,IF(D47="Rodapé separado",70,IF(OR(D47="Cadeira/Maple",D47="Banco de Bar"),60," "))))," ")</f>
        <v/>
      </c>
      <c r="J47" s="86">
        <f>IFERROR(IF(OR(H47=" ",I47=" ")," ",H47*I47)," ")</f>
        <v/>
      </c>
      <c r="K47" s="13" t="n">
        <v>82.5</v>
      </c>
      <c r="L47" s="12" t="n">
        <v>4</v>
      </c>
      <c r="M47" s="88">
        <f>IFERROR(IF(OR(K47="",L47="")," ",K47*L47)," ")</f>
        <v/>
      </c>
      <c r="N47" s="89">
        <f>IFERROR(IF(OR(J47=" ",K47="")," ",K47-J47)," ")</f>
        <v/>
      </c>
      <c r="O47" s="90">
        <f>IFERROR(IF(OR(N47=" ",L47="")," ",N47*L47)," ")</f>
        <v/>
      </c>
      <c r="P47" s="91">
        <f>IFERROR(IF(OR(N47=" ",J47=" ",J47=0)," ",N47/J47)," ")</f>
        <v/>
      </c>
      <c r="Q47" s="14" t="n"/>
    </row>
    <row r="48" ht="20.1" customHeight="1" s="18">
      <c r="A48" s="11" t="n">
        <v>44</v>
      </c>
      <c r="B48" s="12" t="inlineStr">
        <is>
          <t>Sofa Trixi 3Lug</t>
        </is>
      </c>
      <c r="C48" s="15" t="inlineStr">
        <is>
          <t>201F26</t>
        </is>
      </c>
      <c r="D48" s="39" t="inlineStr">
        <is>
          <t>Recto</t>
        </is>
      </c>
      <c r="E48" s="15" t="n">
        <v>1.92</v>
      </c>
      <c r="F48" s="15" t="n">
        <v>0.6</v>
      </c>
      <c r="G48" s="15" t="n">
        <v>0.84</v>
      </c>
      <c r="H48" s="84">
        <f>IFERROR(IF(E48=""," ",E48*F48*G48)," ")</f>
        <v/>
      </c>
      <c r="I48" s="85">
        <f>IFERROR(IF(D48="Recto",60,IF(D48="Curvo",80,IF(D48="Rodapé separado",70,IF(OR(D48="Cadeira/Maple",D48="Banco de Bar"),60," "))))," ")</f>
        <v/>
      </c>
      <c r="J48" s="86">
        <f>IFERROR(IF(OR(H48=" ",I48=" ")," ",H48*I48)," ")</f>
        <v/>
      </c>
      <c r="K48" s="13" t="n">
        <v>78</v>
      </c>
      <c r="L48" s="12" t="n">
        <v>1</v>
      </c>
      <c r="M48" s="88">
        <f>IFERROR(IF(OR(K48="",L48="")," ",K48*L48)," ")</f>
        <v/>
      </c>
      <c r="N48" s="89">
        <f>IFERROR(IF(OR(J48=" ",K48="")," ",K48-J48)," ")</f>
        <v/>
      </c>
      <c r="O48" s="90">
        <f>IFERROR(IF(OR(N48=" ",L48="")," ",N48*L48)," ")</f>
        <v/>
      </c>
      <c r="P48" s="91">
        <f>IFERROR(IF(OR(N48=" ",J48=" ",J48=0)," ",N48/J48)," ")</f>
        <v/>
      </c>
      <c r="Q48" s="14" t="n"/>
    </row>
    <row r="49" ht="20.1" customHeight="1" s="18">
      <c r="A49" s="11" t="n">
        <v>45</v>
      </c>
      <c r="B49" s="12" t="inlineStr">
        <is>
          <t>Modulo Luzia 1950</t>
        </is>
      </c>
      <c r="C49" s="15" t="inlineStr">
        <is>
          <t>210F26</t>
        </is>
      </c>
      <c r="D49" s="39" t="inlineStr">
        <is>
          <t>Recto</t>
        </is>
      </c>
      <c r="E49" s="15" t="n">
        <v>1.95</v>
      </c>
      <c r="F49" s="15" t="n">
        <v>0.876</v>
      </c>
      <c r="G49" s="15" t="n">
        <v>0.61</v>
      </c>
      <c r="H49" s="84">
        <f>IFERROR(IF(E49=""," ",E49*F49*G49)," ")</f>
        <v/>
      </c>
      <c r="I49" s="85">
        <f>IFERROR(IF(D49="Recto",60,IF(D49="Curvo",80,IF(D49="Rodapé separado",70,IF(OR(D49="Cadeira/Maple",D49="Banco de Bar"),60," "))))," ")</f>
        <v/>
      </c>
      <c r="J49" s="86">
        <f>IFERROR(IF(OR(H49=" ",I49=" ")," ",H49*I49)," ")</f>
        <v/>
      </c>
      <c r="K49" s="13" t="n">
        <v>140</v>
      </c>
      <c r="L49" s="12" t="n">
        <v>2</v>
      </c>
      <c r="M49" s="88">
        <f>IFERROR(IF(OR(K49="",L49="")," ",K49*L49)," ")</f>
        <v/>
      </c>
      <c r="N49" s="89">
        <f>IFERROR(IF(OR(J49=" ",K49="")," ",K49-J49)," ")</f>
        <v/>
      </c>
      <c r="O49" s="90">
        <f>IFERROR(IF(OR(N49=" ",L49="")," ",N49*L49)," ")</f>
        <v/>
      </c>
      <c r="P49" s="91">
        <f>IFERROR(IF(OR(N49=" ",J49=" ",J49=0)," ",N49/J49)," ")</f>
        <v/>
      </c>
      <c r="Q49" s="14" t="n"/>
    </row>
    <row r="50" ht="20.1" customHeight="1" s="18">
      <c r="A50" s="11" t="n">
        <v>46</v>
      </c>
      <c r="B50" s="12" t="inlineStr">
        <is>
          <t>Modulo Luzia 2000</t>
        </is>
      </c>
      <c r="C50" s="15" t="inlineStr">
        <is>
          <t>210F26</t>
        </is>
      </c>
      <c r="D50" s="39" t="inlineStr">
        <is>
          <t>Recto</t>
        </is>
      </c>
      <c r="E50" s="15" t="n">
        <v>2</v>
      </c>
      <c r="F50" s="15" t="n">
        <v>0.876</v>
      </c>
      <c r="G50" s="15" t="n">
        <v>0.61</v>
      </c>
      <c r="H50" s="84">
        <f>IFERROR(IF(E50=""," ",E50*F50*G50)," ")</f>
        <v/>
      </c>
      <c r="I50" s="85">
        <f>IFERROR(IF(D50="Recto",60,IF(D50="Curvo",80,IF(D50="Rodapé separado",70,IF(OR(D50="Cadeira/Maple",D50="Banco de Bar"),60," "))))," ")</f>
        <v/>
      </c>
      <c r="J50" s="86">
        <f>IFERROR(IF(OR(H50=" ",I50=" ")," ",H50*I50)," ")</f>
        <v/>
      </c>
      <c r="K50" s="13" t="n">
        <v>140</v>
      </c>
      <c r="L50" s="12" t="n">
        <v>2</v>
      </c>
      <c r="M50" s="88">
        <f>IFERROR(IF(OR(K50="",L50="")," ",K50*L50)," ")</f>
        <v/>
      </c>
      <c r="N50" s="89">
        <f>IFERROR(IF(OR(J50=" ",K50="")," ",K50-J50)," ")</f>
        <v/>
      </c>
      <c r="O50" s="90">
        <f>IFERROR(IF(OR(N50=" ",L50="")," ",N50*L50)," ")</f>
        <v/>
      </c>
      <c r="P50" s="91">
        <f>IFERROR(IF(OR(N50=" ",J50=" ",J50=0)," ",N50/J50)," ")</f>
        <v/>
      </c>
      <c r="Q50" s="14" t="n"/>
    </row>
    <row r="51" ht="20.1" customHeight="1" s="18">
      <c r="A51" s="11" t="n">
        <v>47</v>
      </c>
      <c r="B51" s="12" t="inlineStr">
        <is>
          <t>Modulo Luzia 1950 Op2</t>
        </is>
      </c>
      <c r="C51" s="15" t="inlineStr">
        <is>
          <t>210F26</t>
        </is>
      </c>
      <c r="D51" s="39" t="inlineStr">
        <is>
          <t>Recto</t>
        </is>
      </c>
      <c r="E51" s="15" t="n">
        <v>1.95</v>
      </c>
      <c r="F51" s="15" t="n">
        <v>0.876</v>
      </c>
      <c r="G51" s="15" t="n">
        <v>0.61</v>
      </c>
      <c r="H51" s="84">
        <f>IFERROR(IF(E51=""," ",E51*F51*G51)," ")</f>
        <v/>
      </c>
      <c r="I51" s="85">
        <f>IFERROR(IF(D51="Recto",60,IF(D51="Curvo",80,IF(D51="Rodapé separado",70,IF(OR(D51="Cadeira/Maple",D51="Banco de Bar"),60," "))))," ")</f>
        <v/>
      </c>
      <c r="J51" s="86">
        <f>IFERROR(IF(OR(H51=" ",I51=" ")," ",H51*I51)," ")</f>
        <v/>
      </c>
      <c r="K51" s="13" t="n">
        <v>160</v>
      </c>
      <c r="L51" s="12" t="n">
        <v>2</v>
      </c>
      <c r="M51" s="88">
        <f>IFERROR(IF(OR(K51="",L51="")," ",K51*L51)," ")</f>
        <v/>
      </c>
      <c r="N51" s="89">
        <f>IFERROR(IF(OR(J51=" ",K51="")," ",K51-J51)," ")</f>
        <v/>
      </c>
      <c r="O51" s="90">
        <f>IFERROR(IF(OR(N51=" ",L51="")," ",N51*L51)," ")</f>
        <v/>
      </c>
      <c r="P51" s="91">
        <f>IFERROR(IF(OR(N51=" ",J51=" ",J51=0)," ",N51/J51)," ")</f>
        <v/>
      </c>
      <c r="Q51" s="14" t="n"/>
    </row>
    <row r="52" ht="20.1" customHeight="1" s="18">
      <c r="A52" s="11" t="n">
        <v>48</v>
      </c>
      <c r="B52" s="12" t="inlineStr">
        <is>
          <t>Corcelle Maple</t>
        </is>
      </c>
      <c r="C52" s="15" t="inlineStr">
        <is>
          <t>211F26</t>
        </is>
      </c>
      <c r="D52" s="39" t="inlineStr">
        <is>
          <t>Cadeira/Maple</t>
        </is>
      </c>
      <c r="E52" s="15" t="n">
        <v>0.6</v>
      </c>
      <c r="F52" s="15" t="n">
        <v>0.708</v>
      </c>
      <c r="G52" s="15" t="n">
        <v>0.6</v>
      </c>
      <c r="H52" s="84">
        <f>IFERROR(IF(E52=""," ",E52*F52*G52)," ")</f>
        <v/>
      </c>
      <c r="I52" s="85">
        <f>IFERROR(IF(D52="Recto",60,IF(D52="Curvo",80,IF(D52="Rodapé separado",70,IF(OR(D52="Cadeira/Maple",D52="Banco de Bar"),60," "))))," ")</f>
        <v/>
      </c>
      <c r="J52" s="86">
        <f>IFERROR(IF(OR(H52=" ",I52=" ")," ",H52*I52)," ")</f>
        <v/>
      </c>
      <c r="K52" s="13" t="n">
        <v>80</v>
      </c>
      <c r="L52" s="12" t="n">
        <v>1</v>
      </c>
      <c r="M52" s="88">
        <f>IFERROR(IF(OR(K52="",L52="")," ",K52*L52)," ")</f>
        <v/>
      </c>
      <c r="N52" s="89">
        <f>IFERROR(IF(OR(J52=" ",K52="")," ",K52-J52)," ")</f>
        <v/>
      </c>
      <c r="O52" s="90">
        <f>IFERROR(IF(OR(N52=" ",L52="")," ",N52*L52)," ")</f>
        <v/>
      </c>
      <c r="P52" s="91">
        <f>IFERROR(IF(OR(N52=" ",J52=" ",J52=0)," ",N52/J52)," ")</f>
        <v/>
      </c>
      <c r="Q52" s="14" t="n"/>
    </row>
    <row r="53" ht="20.1" customHeight="1" s="18">
      <c r="A53" s="11" t="n">
        <v>49</v>
      </c>
      <c r="B53" s="12" t="inlineStr">
        <is>
          <t>New Luxor Maple</t>
        </is>
      </c>
      <c r="C53" s="15" t="inlineStr">
        <is>
          <t>211F26</t>
        </is>
      </c>
      <c r="D53" s="39" t="inlineStr">
        <is>
          <t>Cadeira/Maple</t>
        </is>
      </c>
      <c r="E53" s="15" t="n">
        <v>0.823</v>
      </c>
      <c r="F53" s="15" t="n">
        <v>1.02</v>
      </c>
      <c r="G53" s="15" t="n">
        <v>0.773</v>
      </c>
      <c r="H53" s="84">
        <f>IFERROR(IF(E53=""," ",E53*F53*G53)," ")</f>
        <v/>
      </c>
      <c r="I53" s="85">
        <f>IFERROR(IF(D53="Recto",60,IF(D53="Curvo",80,IF(D53="Rodapé separado",70,IF(OR(D53="Cadeira/Maple",D53="Banco de Bar"),60," "))))," ")</f>
        <v/>
      </c>
      <c r="J53" s="86">
        <f>IFERROR(IF(OR(H53=" ",I53=" ")," ",H53*I53)," ")</f>
        <v/>
      </c>
      <c r="K53" s="13" t="n">
        <v>75</v>
      </c>
      <c r="L53" s="12" t="n">
        <v>1</v>
      </c>
      <c r="M53" s="88">
        <f>IFERROR(IF(OR(K53="",L53="")," ",K53*L53)," ")</f>
        <v/>
      </c>
      <c r="N53" s="89">
        <f>IFERROR(IF(OR(J53=" ",K53="")," ",K53-J53)," ")</f>
        <v/>
      </c>
      <c r="O53" s="90">
        <f>IFERROR(IF(OR(N53=" ",L53="")," ",N53*L53)," ")</f>
        <v/>
      </c>
      <c r="P53" s="91">
        <f>IFERROR(IF(OR(N53=" ",J53=" ",J53=0)," ",N53/J53)," ")</f>
        <v/>
      </c>
      <c r="Q53" s="14" t="n"/>
    </row>
    <row r="54" ht="20.1" customHeight="1" s="18">
      <c r="A54" s="11" t="n">
        <v>50</v>
      </c>
      <c r="B54" s="12" t="inlineStr">
        <is>
          <t>Maple Oceania</t>
        </is>
      </c>
      <c r="C54" s="15" t="inlineStr">
        <is>
          <t>217F26</t>
        </is>
      </c>
      <c r="D54" s="39" t="inlineStr">
        <is>
          <t>Cadeira/Maple</t>
        </is>
      </c>
      <c r="E54" s="15" t="n">
        <v>0.726</v>
      </c>
      <c r="F54" s="15" t="n">
        <v>0.87</v>
      </c>
      <c r="G54" s="15" t="n">
        <v>0.704</v>
      </c>
      <c r="H54" s="84">
        <f>IFERROR(IF(E54=""," ",E54*F54*G54)," ")</f>
        <v/>
      </c>
      <c r="I54" s="85">
        <f>IFERROR(IF(D54="Recto",60,IF(D54="Curvo",80,IF(D54="Rodapé separado",70,IF(OR(D54="Cadeira/Maple",D54="Banco de Bar"),60," "))))," ")</f>
        <v/>
      </c>
      <c r="J54" s="86">
        <f>IFERROR(IF(OR(H54=" ",I54=" ")," ",H54*I54)," ")</f>
        <v/>
      </c>
      <c r="K54" s="13" t="n">
        <v>90</v>
      </c>
      <c r="L54" s="12" t="n">
        <v>4</v>
      </c>
      <c r="M54" s="88">
        <f>IFERROR(IF(OR(K54="",L54="")," ",K54*L54)," ")</f>
        <v/>
      </c>
      <c r="N54" s="89">
        <f>IFERROR(IF(OR(J54=" ",K54="")," ",K54-J54)," ")</f>
        <v/>
      </c>
      <c r="O54" s="90">
        <f>IFERROR(IF(OR(N54=" ",L54="")," ",N54*L54)," ")</f>
        <v/>
      </c>
      <c r="P54" s="91">
        <f>IFERROR(IF(OR(N54=" ",J54=" ",J54=0)," ",N54/J54)," ")</f>
        <v/>
      </c>
      <c r="Q54" s="14" t="n"/>
    </row>
    <row r="55" ht="20.1" customHeight="1" s="18">
      <c r="A55" s="11" t="n">
        <v>51</v>
      </c>
      <c r="B55" s="12" t="inlineStr">
        <is>
          <t>Cadeira Archi</t>
        </is>
      </c>
      <c r="C55" s="15" t="inlineStr">
        <is>
          <t>227F26</t>
        </is>
      </c>
      <c r="D55" s="39" t="inlineStr">
        <is>
          <t>Cadeira/Maple</t>
        </is>
      </c>
      <c r="E55" s="15" t="n">
        <v>0.575</v>
      </c>
      <c r="F55" s="15" t="n">
        <v>0.73</v>
      </c>
      <c r="G55" s="15" t="n">
        <v>0.57</v>
      </c>
      <c r="H55" s="84">
        <f>IFERROR(IF(E55=""," ",E55*F55*G55)," ")</f>
        <v/>
      </c>
      <c r="I55" s="85">
        <f>IFERROR(IF(D55="Recto",60,IF(D55="Curvo",80,IF(D55="Rodapé separado",70,IF(OR(D55="Cadeira/Maple",D55="Banco de Bar"),60," "))))," ")</f>
        <v/>
      </c>
      <c r="J55" s="86">
        <f>IFERROR(IF(OR(H55=" ",I55=" ")," ",H55*I55)," ")</f>
        <v/>
      </c>
      <c r="K55" s="13" t="n">
        <v>76.23</v>
      </c>
      <c r="L55" s="12" t="n">
        <v>4</v>
      </c>
      <c r="M55" s="88">
        <f>IFERROR(IF(OR(K55="",L55="")," ",K55*L55)," ")</f>
        <v/>
      </c>
      <c r="N55" s="89">
        <f>IFERROR(IF(OR(J55=" ",K55="")," ",K55-J55)," ")</f>
        <v/>
      </c>
      <c r="O55" s="90">
        <f>IFERROR(IF(OR(N55=" ",L55="")," ",N55*L55)," ")</f>
        <v/>
      </c>
      <c r="P55" s="91">
        <f>IFERROR(IF(OR(N55=" ",J55=" ",J55=0)," ",N55/J55)," ")</f>
        <v/>
      </c>
      <c r="Q55" s="14" t="n"/>
    </row>
    <row r="56" ht="21.95" customHeight="1" s="18">
      <c r="A56" s="54" t="n"/>
      <c r="B56" s="55" t="inlineStr">
        <is>
          <t>TOTAL — Valor Calculado vs. Facturado</t>
        </is>
      </c>
      <c r="C56" s="54" t="n"/>
      <c r="D56" s="54" t="n"/>
      <c r="E56" s="54" t="n"/>
      <c r="F56" s="54" t="n"/>
      <c r="G56" s="54" t="n"/>
      <c r="H56" s="54" t="n"/>
      <c r="I56" s="54" t="n"/>
      <c r="J56" s="96">
        <f>IFERROR(SUMIF(J5:J55,"&lt;&gt; ",J5:J55),0)</f>
        <v/>
      </c>
      <c r="K56" s="97">
        <f>IFERROR(SUMIF(K5:K55,"&lt;&gt; ",K5:K55),0)</f>
        <v/>
      </c>
      <c r="L56" s="16" t="n"/>
      <c r="M56" s="98">
        <f>SUM(M8:M55)</f>
        <v/>
      </c>
      <c r="N56" s="99">
        <f>SUM(N5:N55)</f>
        <v/>
      </c>
      <c r="O56" s="100">
        <f>SUM(O5:O55)</f>
        <v/>
      </c>
      <c r="P56" s="101" t="n"/>
      <c r="Q56" s="54" t="n"/>
    </row>
    <row r="57">
      <c r="L57" s="102">
        <f>IFERROR(IF(OR(J57=" ",K57="")," ",K57-J57)," ")</f>
        <v/>
      </c>
      <c r="M57" s="103" t="n"/>
      <c r="N57" s="103" t="n"/>
      <c r="O57" s="103" t="n"/>
      <c r="P57" s="103" t="n"/>
      <c r="Q57" s="103" t="n"/>
    </row>
    <row r="58" ht="18" customHeight="1" s="18">
      <c r="A58" s="9" t="inlineStr">
        <is>
          <t>RESUMO EXECUTIVO — Leitura rápida dos resultados</t>
        </is>
      </c>
      <c r="L58" s="102" t="n"/>
      <c r="M58" s="102" t="n"/>
      <c r="N58" s="102" t="n"/>
      <c r="O58" s="102" t="n"/>
      <c r="P58" s="102" t="n"/>
      <c r="Q58" s="102" t="n"/>
    </row>
    <row r="59" ht="20.1" customHeight="1" s="18">
      <c r="A59" s="104" t="inlineStr">
        <is>
          <t>Modelos analisados</t>
        </is>
      </c>
      <c r="I59" s="105" t="n"/>
      <c r="J59" s="64">
        <f>COUNTA(B5:B55)</f>
        <v/>
      </c>
      <c r="L59" s="102" t="n"/>
      <c r="M59" s="102" t="n"/>
      <c r="N59" s="102" t="n"/>
      <c r="O59" s="102" t="n"/>
      <c r="P59" s="102" t="n"/>
      <c r="Q59" s="102" t="n"/>
    </row>
    <row r="60" ht="20.1" customHeight="1" s="18">
      <c r="A60" s="106" t="inlineStr">
        <is>
          <t>Modelos com desvio positivo (sobrefacturação)</t>
        </is>
      </c>
      <c r="I60" s="105" t="n"/>
      <c r="J60" s="68">
        <f>COUNTIF(N5:N55,"&gt;0")</f>
        <v/>
      </c>
    </row>
    <row r="61" ht="20.1" customHeight="1" s="18">
      <c r="A61" s="107" t="inlineStr">
        <is>
          <t>Modelos com desvio negativo (subfacturação)</t>
        </is>
      </c>
      <c r="I61" s="105" t="n"/>
      <c r="J61" s="72">
        <f>COUNTIF(N5:N55,"&lt;0")</f>
        <v/>
      </c>
    </row>
    <row r="62" ht="20.1" customHeight="1" s="18">
      <c r="A62" s="106" t="inlineStr">
        <is>
          <t>Total sobrefacturado (€)</t>
        </is>
      </c>
      <c r="I62" s="105" t="n"/>
      <c r="J62" s="108">
        <f>IFERROR(SUMIF(O5:O55,"&gt;0",O5:O55),0)</f>
        <v/>
      </c>
    </row>
    <row r="63" ht="20.1" customHeight="1" s="18">
      <c r="A63" s="104" t="inlineStr">
        <is>
          <t>Desvio médio por modelo (%)</t>
        </is>
      </c>
      <c r="I63" s="105" t="n"/>
      <c r="J63" s="109">
        <f>IFERROR(AVERAGEIF(P5:P55,"&lt;&gt; ",P5:P55)," ")</f>
        <v/>
      </c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8">
    <mergeCell ref="A59:I59"/>
    <mergeCell ref="A63:I63"/>
    <mergeCell ref="A58:J58"/>
    <mergeCell ref="A60:I60"/>
    <mergeCell ref="A2:Q2"/>
    <mergeCell ref="A61:I61"/>
    <mergeCell ref="A62:I62"/>
    <mergeCell ref="A1:Q1"/>
  </mergeCells>
  <conditionalFormatting sqref="L5:L28 L30:L44 L57 N5:N28 N56:O56">
    <cfRule type="expression" priority="6" dxfId="1">
      <formula>AND(L5&lt;&gt;" ",L5&gt;0)</formula>
    </cfRule>
    <cfRule type="expression" priority="7" dxfId="0">
      <formula>AND(L5&lt;&gt;" ",L5&lt;0)</formula>
    </cfRule>
  </conditionalFormatting>
  <conditionalFormatting sqref="M5:M28 M30:M55">
    <cfRule type="expression" priority="8" dxfId="1">
      <formula>AND(M5&lt;&gt;" ",M5&gt;0.05)</formula>
    </cfRule>
  </conditionalFormatting>
  <conditionalFormatting sqref="O5:O28">
    <cfRule type="expression" priority="11" dxfId="1">
      <formula>AND(O5&lt;&gt;" ",O5&gt;0)</formula>
    </cfRule>
    <cfRule type="expression" priority="12" dxfId="0">
      <formula>AND(O5&lt;&gt;" ",O5&lt;0)</formula>
    </cfRule>
  </conditionalFormatting>
  <conditionalFormatting sqref="L29 N29:N55">
    <cfRule type="expression" priority="1" dxfId="1">
      <formula>AND(L29&lt;&gt;" ",L29&gt;0)</formula>
    </cfRule>
    <cfRule type="expression" priority="2" dxfId="0">
      <formula>AND(L29&lt;&gt;" ",L29&lt;0)</formula>
    </cfRule>
  </conditionalFormatting>
  <conditionalFormatting sqref="M29">
    <cfRule type="expression" priority="3" dxfId="1">
      <formula>AND(M29&lt;&gt;" ",M29&gt;0.05)</formula>
    </cfRule>
  </conditionalFormatting>
  <conditionalFormatting sqref="O29:O55">
    <cfRule type="expression" priority="4" dxfId="1">
      <formula>AND(O29&lt;&gt;" ",O29&gt;0)</formula>
    </cfRule>
    <cfRule type="expression" priority="5" dxfId="0">
      <formula>AND(O29&lt;&gt;" ",O29&lt;0)</formula>
    </cfRule>
  </conditionalFormatting>
  <dataValidations count="1">
    <dataValidation sqref="D5:D55" showDropDown="0" showInputMessage="0" showErrorMessage="0" allowBlank="1" type="list">
      <formula1>"Recto,Curvo,Rodapé separado,Cadeira/Maple,Banco de Bar,Por confirmar"</formula1>
    </dataValidation>
  </dataValidations>
  <pageMargins left="0.25" right="0.25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" customWidth="1" style="18" min="1" max="1"/>
    <col width="6" customWidth="1" style="18" min="2" max="2"/>
    <col width="30" customWidth="1" style="18" min="3" max="3"/>
    <col width="20" customWidth="1" style="18" min="4" max="6"/>
    <col width="3" customWidth="1" style="18" min="7" max="7"/>
  </cols>
  <sheetData>
    <row r="1" ht="32.1" customHeight="1" s="18">
      <c r="B1" s="75" t="inlineStr">
        <is>
          <t>REGISTO DE FONTES DOCUMENTAIS — RAI-2026-004</t>
        </is>
      </c>
    </row>
    <row r="2" ht="14.1" customHeight="1" s="18"/>
    <row r="3" ht="21.95" customHeight="1" s="18">
      <c r="B3" s="33" t="inlineStr">
        <is>
          <t>Nº</t>
        </is>
      </c>
      <c r="C3" s="33" t="inlineStr">
        <is>
          <t>Documento / Fonte</t>
        </is>
      </c>
      <c r="D3" s="33" t="inlineStr">
        <is>
          <t>Data</t>
        </is>
      </c>
      <c r="E3" s="33" t="inlineStr">
        <is>
          <t>Origem</t>
        </is>
      </c>
      <c r="F3" s="33" t="inlineStr">
        <is>
          <t>Observações</t>
        </is>
      </c>
    </row>
    <row r="4" ht="21.95" customHeight="1" s="18">
      <c r="B4" s="76" t="inlineStr">
        <is>
          <t>1</t>
        </is>
      </c>
      <c r="C4" s="77" t="inlineStr">
        <is>
          <t>Tabela de preços manuscrita Fornecedor de Cascos</t>
        </is>
      </c>
      <c r="D4" s="76" t="inlineStr">
        <is>
          <t>Fev 2026</t>
        </is>
      </c>
      <c r="E4" s="77" t="inlineStr">
        <is>
          <t>Responsável Comercial Fornecedor de Cascos</t>
        </is>
      </c>
      <c r="F4" s="77" t="inlineStr">
        <is>
          <t>Verificar data e assinatura no original</t>
        </is>
      </c>
    </row>
    <row r="5" ht="21.95" customHeight="1" s="18">
      <c r="B5" s="78" t="inlineStr">
        <is>
          <t>2</t>
        </is>
      </c>
      <c r="C5" s="79" t="inlineStr">
        <is>
          <t>Facturas Fornecedor de Cascos — Período Fev–Abr 2026</t>
        </is>
      </c>
      <c r="D5" s="78" t="inlineStr">
        <is>
          <t>Fev–Abr 2026</t>
        </is>
      </c>
      <c r="E5" s="79" t="inlineStr">
        <is>
          <t>Fornecedor de Cascos</t>
        </is>
      </c>
      <c r="F5" s="79" t="inlineStr">
        <is>
          <t>Arquivo físico / sistema Empresa Manufatureira</t>
        </is>
      </c>
    </row>
    <row r="6" ht="21.95" customHeight="1" s="18">
      <c r="B6" s="76" t="inlineStr">
        <is>
          <t>3</t>
        </is>
      </c>
      <c r="C6" s="77" t="inlineStr">
        <is>
          <t>Fichas técnicas ERP AS/400</t>
        </is>
      </c>
      <c r="D6" s="76" t="inlineStr">
        <is>
          <t>Fev–Abr 2026</t>
        </is>
      </c>
      <c r="E6" s="77" t="inlineStr">
        <is>
          <t>Sistema interno Empresa Manufatureira</t>
        </is>
      </c>
      <c r="F6" s="77" t="inlineStr">
        <is>
          <t>Dimensões usadas como base de cálculo</t>
        </is>
      </c>
    </row>
    <row r="7" ht="21.95" customHeight="1" s="18">
      <c r="B7" s="78" t="inlineStr">
        <is>
          <t>4</t>
        </is>
      </c>
      <c r="C7" s="79" t="inlineStr">
        <is>
          <t>Critério de classificação de modelos</t>
        </is>
      </c>
      <c r="D7" s="78" t="inlineStr">
        <is>
          <t>Abr 2026</t>
        </is>
      </c>
      <c r="E7" s="79" t="inlineStr">
        <is>
          <t>Paula / Miguel Neto / Victor — Empresa Manufatureira</t>
        </is>
      </c>
      <c r="F7" s="79" t="inlineStr">
        <is>
          <t>Validação oral — confirmar por escrito</t>
        </is>
      </c>
    </row>
    <row r="8" ht="21.95" customHeight="1" s="18">
      <c r="B8" s="80" t="inlineStr">
        <is>
          <t>5</t>
        </is>
      </c>
      <c r="C8" s="81" t="inlineStr">
        <is>
          <t>Validação do critério curvo+rodapé</t>
        </is>
      </c>
      <c r="D8" s="80" t="inlineStr">
        <is>
          <t>A obter</t>
        </is>
      </c>
      <c r="E8" s="81" t="inlineStr">
        <is>
          <t>CFO — Tereza Cristina Lopes</t>
        </is>
      </c>
      <c r="F8" s="82" t="inlineStr">
        <is>
          <t>PENDENTE — necessário antes de conclusão final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2026-04-09T20:28:17Z</dcterms:created>
  <dcterms:modified xmlns:dcterms="http://purl.org/dc/terms/" xmlns:xsi="http://www.w3.org/2001/XMLSchema-instance" xsi:type="dcterms:W3CDTF">2026-04-30T19:21:05Z</dcterms:modified>
  <cp:lastModifiedBy>Gabriel Schindler Almeida Costa</cp:lastModifiedBy>
</cp:coreProperties>
</file>